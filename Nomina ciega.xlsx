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202300"/>
  <mc:AlternateContent xmlns:mc="http://schemas.openxmlformats.org/markup-compatibility/2006">
    <mc:Choice Requires="x15">
      <x15ac:absPath xmlns:x15ac="http://schemas.microsoft.com/office/spreadsheetml/2010/11/ac" url="C:\Users\rh\Desktop\"/>
    </mc:Choice>
  </mc:AlternateContent>
  <xr:revisionPtr revIDLastSave="0" documentId="13_ncr:1_{55C73770-DEEA-483E-94B0-E87E71238CCC}" xr6:coauthVersionLast="47" xr6:coauthVersionMax="47" xr10:uidLastSave="{00000000-0000-0000-0000-000000000000}"/>
  <bookViews>
    <workbookView xWindow="-120" yWindow="-120" windowWidth="20730" windowHeight="11040" xr2:uid="{837FB459-7CA4-4F91-9C5E-7283F1240930}"/>
  </bookViews>
  <sheets>
    <sheet name="Hoja1" sheetId="1" r:id="rId1"/>
  </sheets>
  <externalReferences>
    <externalReference r:id="rId2"/>
  </externalReferences>
  <definedNames>
    <definedName name="_xlnm._FilterDatabase" localSheetId="0" hidden="1">Hoja1!$A$5:$AM$23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1" l="1"/>
  <c r="Z21" i="1"/>
  <c r="U21" i="1"/>
  <c r="AG19" i="1"/>
  <c r="AC7" i="1"/>
  <c r="AG7" i="1"/>
  <c r="T6" i="1"/>
  <c r="U6" i="1" s="1"/>
  <c r="AC8" i="1"/>
  <c r="AC10" i="1"/>
  <c r="AC11" i="1"/>
  <c r="AC12" i="1"/>
  <c r="AC13" i="1"/>
  <c r="AC14" i="1"/>
  <c r="AC15" i="1"/>
  <c r="AC16" i="1"/>
  <c r="AC17" i="1"/>
  <c r="AC18" i="1"/>
  <c r="AC20" i="1"/>
  <c r="AB8" i="1"/>
  <c r="AF8" i="1" s="1"/>
  <c r="AG8" i="1" s="1"/>
  <c r="AB9" i="1"/>
  <c r="AB10" i="1"/>
  <c r="AF10" i="1" s="1"/>
  <c r="AG10" i="1" s="1"/>
  <c r="AB11" i="1"/>
  <c r="AF11" i="1" s="1"/>
  <c r="AG11" i="1" s="1"/>
  <c r="AB12" i="1"/>
  <c r="AF12" i="1" s="1"/>
  <c r="AG12" i="1" s="1"/>
  <c r="AB13" i="1"/>
  <c r="AF13" i="1" s="1"/>
  <c r="AG13" i="1" s="1"/>
  <c r="AB14" i="1"/>
  <c r="AF14" i="1" s="1"/>
  <c r="AG14" i="1" s="1"/>
  <c r="AB15" i="1"/>
  <c r="AF15" i="1" s="1"/>
  <c r="AG15" i="1" s="1"/>
  <c r="AB16" i="1"/>
  <c r="AF16" i="1" s="1"/>
  <c r="AG16" i="1" s="1"/>
  <c r="AB17" i="1"/>
  <c r="AF17" i="1" s="1"/>
  <c r="AG17" i="1" s="1"/>
  <c r="AB18" i="1"/>
  <c r="AF18" i="1" s="1"/>
  <c r="AG18" i="1" s="1"/>
  <c r="AB19" i="1"/>
  <c r="AB20" i="1"/>
  <c r="AF20" i="1" s="1"/>
  <c r="AG20" i="1" s="1"/>
  <c r="U7" i="1"/>
  <c r="AB7" i="1" s="1"/>
  <c r="U8" i="1"/>
  <c r="U9" i="1"/>
  <c r="U10" i="1"/>
  <c r="U11" i="1"/>
  <c r="U12" i="1"/>
  <c r="U13" i="1"/>
  <c r="U14" i="1"/>
  <c r="U15" i="1"/>
  <c r="U16" i="1"/>
  <c r="U17" i="1"/>
  <c r="U18" i="1"/>
  <c r="U19" i="1"/>
  <c r="U20" i="1"/>
  <c r="AG22" i="1"/>
  <c r="AG23" i="1"/>
  <c r="AA21" i="1"/>
  <c r="AF19" i="1" l="1"/>
  <c r="AC19" i="1"/>
  <c r="AF9" i="1"/>
  <c r="AG9" i="1" s="1"/>
  <c r="AC9" i="1"/>
  <c r="AB6" i="1"/>
  <c r="AF7" i="1"/>
  <c r="AC6" i="1"/>
  <c r="AF6" i="1"/>
  <c r="AG6" i="1" s="1"/>
  <c r="Y21" i="1"/>
  <c r="W21" i="1"/>
  <c r="V21" i="1"/>
  <c r="AB21" i="1" l="1"/>
  <c r="AC21" i="1" s="1"/>
  <c r="AI6" i="1"/>
  <c r="AE21" i="1" l="1"/>
  <c r="AI21" i="1"/>
  <c r="AJ6" i="1" l="1"/>
  <c r="AF21" i="1"/>
  <c r="AG21" i="1" s="1"/>
  <c r="AJ21" i="1" l="1"/>
  <c r="AJ22" i="1" l="1"/>
  <c r="AJ2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Patricia  Rivera Picos</author>
    <author>Petra Vega Hernandez</author>
    <author>Leticia Guadalupe Aragon</author>
    <author>Ana Marina Lugo Felix</author>
  </authors>
  <commentList>
    <comment ref="Q4" authorId="0" shapeId="0" xr:uid="{5D1DF888-1D79-4387-97D9-3D598C3DAA7C}">
      <text>
        <r>
          <rPr>
            <b/>
            <sz val="9"/>
            <color indexed="81"/>
            <rFont val="Tahoma"/>
            <family val="2"/>
          </rPr>
          <t>Patricia  Rivera Picos:</t>
        </r>
        <r>
          <rPr>
            <sz val="9"/>
            <color indexed="81"/>
            <rFont val="Tahoma"/>
            <family val="2"/>
          </rPr>
          <t xml:space="preserve">
incremento en la UMA, por lo que se incremento el valor de la despensa, por lo que se hace un ajuste para seguir manejando el mismo sueldo bruto sin incrementos, PARA INGRESOS DE FEBRERO 2025 HACIA ATRAS</t>
        </r>
      </text>
    </comment>
    <comment ref="Z5" authorId="1" shapeId="0" xr:uid="{C6806F37-2C45-4798-AABC-08BB7F26B32B}">
      <text>
        <r>
          <rPr>
            <b/>
            <sz val="9"/>
            <color indexed="81"/>
            <rFont val="Tahoma"/>
            <family val="2"/>
          </rPr>
          <t>Petra Vega Hernandez:</t>
        </r>
        <r>
          <rPr>
            <sz val="9"/>
            <color indexed="81"/>
            <rFont val="Tahoma"/>
            <family val="2"/>
          </rPr>
          <t xml:space="preserve">
PUSE EFECTIVOS
</t>
        </r>
      </text>
    </comment>
    <comment ref="I7" authorId="1" shapeId="0" xr:uid="{2B8DD7B4-89E1-4826-9213-6B68158708B7}">
      <text>
        <r>
          <rPr>
            <b/>
            <sz val="9"/>
            <color indexed="81"/>
            <rFont val="Tahoma"/>
            <family val="2"/>
          </rPr>
          <t>Petra Vega Hernandez:</t>
        </r>
        <r>
          <rPr>
            <sz val="9"/>
            <color indexed="81"/>
            <rFont val="Tahoma"/>
            <family val="2"/>
          </rPr>
          <t xml:space="preserve">
INGRESO EN NOMINA quincenal 01/01/2022
</t>
        </r>
      </text>
    </comment>
    <comment ref="W7" authorId="2" shapeId="0" xr:uid="{A40F8316-A325-4D54-9ADB-7B0E3D85E215}">
      <text>
        <r>
          <rPr>
            <b/>
            <sz val="9"/>
            <color indexed="81"/>
            <rFont val="Tahoma"/>
            <family val="2"/>
          </rPr>
          <t>Leticia Guadalupe Aragon:</t>
        </r>
        <r>
          <rPr>
            <sz val="9"/>
            <color indexed="81"/>
            <rFont val="Tahoma"/>
            <family val="2"/>
          </rPr>
          <t xml:space="preserve">
SEGÚN REGistro A PARTIR FEB-2021</t>
        </r>
      </text>
    </comment>
    <comment ref="I8" authorId="2" shapeId="0" xr:uid="{451BE6DD-E5DC-429F-89C5-D4DFD3F86ED7}">
      <text>
        <r>
          <rPr>
            <b/>
            <sz val="9"/>
            <color indexed="81"/>
            <rFont val="Tahoma"/>
            <family val="2"/>
          </rPr>
          <t>Leticia Guadalupe Aragon:</t>
        </r>
        <r>
          <rPr>
            <sz val="9"/>
            <color indexed="81"/>
            <rFont val="Tahoma"/>
            <family val="2"/>
          </rPr>
          <t xml:space="preserve">
INGRESO A LA NOM. 01-07-2013-BAJA 15/03/2026
INGRESO NOM. ASIMIALDOS 16/03/2026</t>
        </r>
      </text>
    </comment>
    <comment ref="V11" authorId="1" shapeId="0" xr:uid="{207059C5-2BAF-47CE-840F-B1DDF25ACE40}">
      <text>
        <r>
          <rPr>
            <b/>
            <sz val="9"/>
            <color indexed="81"/>
            <rFont val="Tahoma"/>
            <family val="2"/>
          </rPr>
          <t>Petra Vega Hernandez:</t>
        </r>
        <r>
          <rPr>
            <sz val="9"/>
            <color indexed="81"/>
            <rFont val="Tahoma"/>
            <family val="2"/>
          </rPr>
          <t xml:space="preserve">
INCLIYE EL NOMINAL CARRO $6,498.30</t>
        </r>
      </text>
    </comment>
    <comment ref="I19" authorId="3" shapeId="0" xr:uid="{23D7313F-3735-4284-AAA1-B61B6CBC322C}">
      <text>
        <r>
          <rPr>
            <b/>
            <sz val="9"/>
            <color indexed="81"/>
            <rFont val="Tahoma"/>
            <family val="2"/>
          </rPr>
          <t>Ana Marina Lugo Felix:</t>
        </r>
        <r>
          <rPr>
            <sz val="9"/>
            <color indexed="81"/>
            <rFont val="Tahoma"/>
            <family val="2"/>
          </rPr>
          <t xml:space="preserve">
se dio de baja en AHA 31/04/2026.y se dio de alta en BYRMAX el 01/05/2026.</t>
        </r>
      </text>
    </comment>
    <comment ref="Z19" authorId="3" shapeId="0" xr:uid="{2A5D2E13-6F50-401E-86D8-7FB0681B737A}">
      <text>
        <r>
          <rPr>
            <b/>
            <sz val="9"/>
            <color indexed="81"/>
            <rFont val="Tahoma"/>
            <family val="2"/>
          </rPr>
          <t>Ana Marina Lugo Felix:</t>
        </r>
        <r>
          <rPr>
            <sz val="9"/>
            <color indexed="81"/>
            <rFont val="Tahoma"/>
            <family val="2"/>
          </rPr>
          <t xml:space="preserve">
FACTURA MENSUAL COMISIONES POR 150,000 +IVA - RETENCIONES, A PARTIR DEL 01 ENERO 2024, SE PAGA EL ULTMO DIA DEL MES
</t>
        </r>
      </text>
    </comment>
  </commentList>
</comments>
</file>

<file path=xl/sharedStrings.xml><?xml version="1.0" encoding="utf-8"?>
<sst xmlns="http://schemas.openxmlformats.org/spreadsheetml/2006/main" count="170" uniqueCount="112">
  <si>
    <t>PRENOMINA ADMISTRATIVA 30-04-2026</t>
  </si>
  <si>
    <t>UMA 2026:</t>
  </si>
  <si>
    <t>07 al 21 ago 2025 ( incidencias checador)</t>
  </si>
  <si>
    <t>No.</t>
  </si>
  <si>
    <t>Cod.</t>
  </si>
  <si>
    <t>EMPRESA</t>
  </si>
  <si>
    <t>NOMBRE COMPLETO</t>
  </si>
  <si>
    <t>AREA</t>
  </si>
  <si>
    <t>DEPARTAMENTO</t>
  </si>
  <si>
    <t>PUESTO</t>
  </si>
  <si>
    <t>LUGAR DE TRABAJO</t>
  </si>
  <si>
    <t>FECHA DE INGRESO</t>
  </si>
  <si>
    <t>AÑOS DE LABORES</t>
  </si>
  <si>
    <t>FECHA DE BAJA</t>
  </si>
  <si>
    <t>CUENTA CON FONDO DE AHORRO</t>
  </si>
  <si>
    <t>SALARIO DIARIO</t>
  </si>
  <si>
    <t>FACTOR INTEGRACION IMSS</t>
  </si>
  <si>
    <t>SALARIO DIARIO INTEGRADO</t>
  </si>
  <si>
    <t>SUELDO NOMINAL</t>
  </si>
  <si>
    <t xml:space="preserve">PUNTUALIDAD </t>
  </si>
  <si>
    <t xml:space="preserve"> ASISTENCIA</t>
  </si>
  <si>
    <t>VALES DE DESPENSA</t>
  </si>
  <si>
    <t>FONDO DE AHORRO</t>
  </si>
  <si>
    <t>PERCEPCION SUELDOS</t>
  </si>
  <si>
    <t>HONORARIOS ASIMILADOS</t>
  </si>
  <si>
    <t>GASOLINA SUELDO</t>
  </si>
  <si>
    <t>SOCIO</t>
  </si>
  <si>
    <t>Efectivo</t>
  </si>
  <si>
    <t>FACTURADO</t>
  </si>
  <si>
    <t>DEUDA DE CARRO</t>
  </si>
  <si>
    <t>SUELDO BRUTO MENSUAL</t>
  </si>
  <si>
    <t>SUELDO BRUTO QUINCENAL</t>
  </si>
  <si>
    <t>PORCENTAJE</t>
  </si>
  <si>
    <t>DESCUENTO</t>
  </si>
  <si>
    <t xml:space="preserve">SUELDO BRUTO MENSUAL </t>
  </si>
  <si>
    <t xml:space="preserve">SUELDO BRUTO QUINCENAL </t>
  </si>
  <si>
    <t>OBSERVACIONES</t>
  </si>
  <si>
    <t>Descuento empleados s/Quincenal</t>
  </si>
  <si>
    <t>Descuento empleados s/Mensual</t>
  </si>
  <si>
    <t>CPI</t>
  </si>
  <si>
    <t>TECNICA</t>
  </si>
  <si>
    <t>CONTABILIDAD</t>
  </si>
  <si>
    <t>CONTADOR</t>
  </si>
  <si>
    <t>CORPORATIVO</t>
  </si>
  <si>
    <t>SI</t>
  </si>
  <si>
    <t>OK</t>
  </si>
  <si>
    <t>LASO</t>
  </si>
  <si>
    <t>INGENIERIA</t>
  </si>
  <si>
    <t>TOPOGRAFO</t>
  </si>
  <si>
    <t>MAZATLAN</t>
  </si>
  <si>
    <t>AHA</t>
  </si>
  <si>
    <t>OPERATIVA</t>
  </si>
  <si>
    <t>ADMINISTRATIVA</t>
  </si>
  <si>
    <t>COMERCIAL</t>
  </si>
  <si>
    <t>CULIACAN</t>
  </si>
  <si>
    <t>NO</t>
  </si>
  <si>
    <t>BYRMAX</t>
  </si>
  <si>
    <t>PRODUCCION</t>
  </si>
  <si>
    <t>MARKETING</t>
  </si>
  <si>
    <t>190</t>
  </si>
  <si>
    <t>CONTENT MANAGER</t>
  </si>
  <si>
    <t>DESCONTAR 1 DIA / VALIDADO CON SU JEFE DIRECTO</t>
  </si>
  <si>
    <t>OK, DESCONTAR 1 DIA X RETARDOS</t>
  </si>
  <si>
    <t>SUPERVISOR DE OBRA</t>
  </si>
  <si>
    <t>108</t>
  </si>
  <si>
    <t>CPI/ ASIMIL</t>
  </si>
  <si>
    <t>PROYECTISTA URBANIZACIÓN</t>
  </si>
  <si>
    <t>-</t>
  </si>
  <si>
    <t xml:space="preserve"> TIENE UN ADEUDO DE $35,745.37 CORRESPONDIENTE A UN PRESTAMO POR $125,000 (05 DE SEP 2025) QUE SE ABONARA EN 5 PAGOS MENSUALES DE $6,244.18 EMPEZANDO El 15 ABRIL A AGOSTO 2026.</t>
  </si>
  <si>
    <t>081</t>
  </si>
  <si>
    <t>GESTORIA</t>
  </si>
  <si>
    <t>AUXILIAR DE GESTORIA</t>
  </si>
  <si>
    <t>FACTURA</t>
  </si>
  <si>
    <t>PROSPECCIÓN DIGITAL</t>
  </si>
  <si>
    <t>GERENTE DE VENTAS DIGITALES</t>
  </si>
  <si>
    <t xml:space="preserve">OK, PAGO CON FACTURA/SUELDO UNA VEZ AL MES LOS DIAS 15 </t>
  </si>
  <si>
    <t>DIRECCION</t>
  </si>
  <si>
    <t>CPI-ASIMIL</t>
  </si>
  <si>
    <t>OK, SE PAGA SUELDO BRUTO MENSUAL, SE PAGA LOS 17 DE CADA MES</t>
  </si>
  <si>
    <t>AHA-ASIMIL</t>
  </si>
  <si>
    <t>COMPRAS</t>
  </si>
  <si>
    <t>GERENTE DE COMPRAS</t>
  </si>
  <si>
    <t>DIRECTOR DE MERCADOTECNIA</t>
  </si>
  <si>
    <t>PRESTAMO DE 20,000.00, A PAGAR CON EL FONDO DE AHORRO CUANDO SE ENTREGUE</t>
  </si>
  <si>
    <t>JURIDICO</t>
  </si>
  <si>
    <t>ABOGADA</t>
  </si>
  <si>
    <t>OPERACIONES</t>
  </si>
  <si>
    <t>IMAGEN URBANA</t>
  </si>
  <si>
    <t>269</t>
  </si>
  <si>
    <t>127</t>
  </si>
  <si>
    <t>128</t>
  </si>
  <si>
    <t>SE PAGA LOS 17 DE CADA MES</t>
  </si>
  <si>
    <t>DIF. X DESCUENTOS Y/O NUEVOS INGRESOS</t>
  </si>
  <si>
    <t>ok</t>
  </si>
  <si>
    <t>EMPLEADO 2</t>
  </si>
  <si>
    <t>EMPLEADO 1</t>
  </si>
  <si>
    <t>EMPLEADO 3</t>
  </si>
  <si>
    <t>EMPLEADO 4</t>
  </si>
  <si>
    <t>EMPLEADO 5</t>
  </si>
  <si>
    <t>EMPLEADO 6</t>
  </si>
  <si>
    <t>EMPLEADO 7</t>
  </si>
  <si>
    <t>EMPLEADO 8</t>
  </si>
  <si>
    <t>EMPLEADO 9</t>
  </si>
  <si>
    <t>EMPLEADO 10</t>
  </si>
  <si>
    <t>EMPLEADO 11</t>
  </si>
  <si>
    <t>EMPLEADO 12</t>
  </si>
  <si>
    <t>EMPLEADO 13</t>
  </si>
  <si>
    <t>EMPLEADO 14</t>
  </si>
  <si>
    <t>EMPLEADO 15</t>
  </si>
  <si>
    <t>026</t>
  </si>
  <si>
    <t>GERENCIA GRAL</t>
  </si>
  <si>
    <t xml:space="preserve"> COMISIONES QUE SE PAGA EL ULTIMO DIA DE CADA MES,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</si>
</sst>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Red]\-&quot;$&quot;#,##0.00"/>
    <numFmt numFmtId="44" formatCode="_-&quot;$&quot;* #,##0.00_-;\-&quot;$&quot;* #,##0.00_-;_-&quot;$&quot;* &quot;-&quot;??_-;_-@_-"/>
    <numFmt numFmtId="43" formatCode="_-* #,##0.00_-;\-* #,##0.00_-;_-* &quot;-&quot;??_-;_-@_-"/>
    <numFmt numFmtId="164" formatCode="dd/mmm/yyyy;@"/>
  </numFmts>
  <fonts count="18" x14ac:knownFonts="1">
    <font>
      <sz val="11"/>
      <color theme="1"/>
      <name val="Aptos Narrow"/>
      <family val="2"/>
      <scheme val="minor"/>
    </font>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sz val="9"/>
      <color theme="1"/>
      <name val="Aptos Narrow"/>
      <family val="2"/>
      <scheme val="minor"/>
    </font>
    <font>
      <sz val="11"/>
      <name val="Aptos Narrow"/>
      <family val="2"/>
      <scheme val="minor"/>
    </font>
    <font>
      <b/>
      <u/>
      <sz val="12"/>
      <color theme="1"/>
      <name val="Aptos Narrow"/>
      <family val="2"/>
      <scheme val="minor"/>
    </font>
    <font>
      <b/>
      <sz val="10"/>
      <name val="Aptos Narrow"/>
      <family val="2"/>
      <scheme val="minor"/>
    </font>
    <font>
      <sz val="10"/>
      <name val="Aptos Narrow"/>
      <family val="2"/>
      <scheme val="minor"/>
    </font>
    <font>
      <sz val="10"/>
      <color theme="1"/>
      <name val="Aptos Narrow"/>
      <family val="2"/>
      <scheme val="minor"/>
    </font>
    <font>
      <sz val="9"/>
      <name val="Aptos Narrow"/>
      <family val="2"/>
      <scheme val="minor"/>
    </font>
    <font>
      <b/>
      <sz val="10"/>
      <color theme="1"/>
      <name val="Aptos Narrow"/>
      <family val="2"/>
      <scheme val="minor"/>
    </font>
    <font>
      <b/>
      <sz val="9"/>
      <name val="Aptos Narrow"/>
      <family val="2"/>
      <scheme val="minor"/>
    </font>
    <font>
      <b/>
      <sz val="9"/>
      <color theme="1"/>
      <name val="Aptos Narrow"/>
      <family val="2"/>
      <scheme val="minor"/>
    </font>
    <font>
      <b/>
      <sz val="9"/>
      <color indexed="81"/>
      <name val="Tahoma"/>
      <family val="2"/>
    </font>
    <font>
      <sz val="9"/>
      <color indexed="81"/>
      <name val="Tahoma"/>
      <family val="2"/>
    </font>
    <font>
      <sz val="8"/>
      <name val="Aptos Narrow"/>
      <family val="2"/>
      <scheme val="minor"/>
    </font>
  </fonts>
  <fills count="10">
    <fill>
      <patternFill patternType="none"/>
    </fill>
    <fill>
      <patternFill patternType="gray125"/>
    </fill>
    <fill>
      <patternFill patternType="solid">
        <fgColor theme="0"/>
        <bgColor indexed="64"/>
      </patternFill>
    </fill>
    <fill>
      <patternFill patternType="solid">
        <fgColor rgb="FF00B0F0"/>
        <bgColor indexed="64"/>
      </patternFill>
    </fill>
    <fill>
      <patternFill patternType="solid">
        <fgColor theme="4" tint="0.39997558519241921"/>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theme="0" tint="-0.34998626667073579"/>
        <bgColor indexed="64"/>
      </patternFill>
    </fill>
  </fills>
  <borders count="6">
    <border>
      <left/>
      <right/>
      <top/>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169">
    <xf numFmtId="0" fontId="0" fillId="0" borderId="0" xfId="0"/>
    <xf numFmtId="0" fontId="0" fillId="0" borderId="0" xfId="0" applyAlignment="1">
      <alignment horizontal="center" vertical="center"/>
    </xf>
    <xf numFmtId="0" fontId="5" fillId="0" borderId="0" xfId="0" applyFont="1" applyAlignment="1">
      <alignment horizontal="center" vertical="center"/>
    </xf>
    <xf numFmtId="0" fontId="0" fillId="2" borderId="0" xfId="0" applyFill="1" applyAlignment="1">
      <alignment vertical="center"/>
    </xf>
    <xf numFmtId="164" fontId="0" fillId="0" borderId="0" xfId="0" applyNumberFormat="1" applyAlignment="1">
      <alignment horizontal="center" vertical="center"/>
    </xf>
    <xf numFmtId="4" fontId="4" fillId="0" borderId="0" xfId="0" applyNumberFormat="1" applyFont="1"/>
    <xf numFmtId="44" fontId="0" fillId="0" borderId="0" xfId="0" applyNumberFormat="1"/>
    <xf numFmtId="0" fontId="4" fillId="0" borderId="0" xfId="0" applyFont="1"/>
    <xf numFmtId="0" fontId="6" fillId="0" borderId="0" xfId="0" applyFont="1"/>
    <xf numFmtId="0" fontId="7" fillId="0" borderId="0" xfId="0" applyFont="1" applyAlignment="1">
      <alignment horizontal="left" vertical="center"/>
    </xf>
    <xf numFmtId="0" fontId="0" fillId="0" borderId="0" xfId="0" applyAlignment="1">
      <alignment vertical="center"/>
    </xf>
    <xf numFmtId="4" fontId="0" fillId="0" borderId="0" xfId="0" applyNumberFormat="1"/>
    <xf numFmtId="44" fontId="4" fillId="0" borderId="0" xfId="0" applyNumberFormat="1" applyFont="1"/>
    <xf numFmtId="0" fontId="2" fillId="2" borderId="0" xfId="0" applyFont="1" applyFill="1"/>
    <xf numFmtId="15" fontId="0" fillId="3" borderId="0" xfId="0" applyNumberFormat="1" applyFill="1" applyAlignment="1">
      <alignment horizontal="center"/>
    </xf>
    <xf numFmtId="43" fontId="0" fillId="0" borderId="0" xfId="1" applyFont="1" applyAlignment="1">
      <alignment vertical="center"/>
    </xf>
    <xf numFmtId="0" fontId="8" fillId="4" borderId="1" xfId="0" applyFont="1" applyFill="1" applyBorder="1" applyAlignment="1">
      <alignment horizontal="center" vertical="top" wrapText="1"/>
    </xf>
    <xf numFmtId="0" fontId="8" fillId="4" borderId="2" xfId="0" applyFont="1" applyFill="1" applyBorder="1" applyAlignment="1">
      <alignment horizontal="center" vertical="top" wrapText="1"/>
    </xf>
    <xf numFmtId="0" fontId="8" fillId="4" borderId="3" xfId="0" applyFont="1" applyFill="1" applyBorder="1" applyAlignment="1">
      <alignment horizontal="center" vertical="top" wrapText="1"/>
    </xf>
    <xf numFmtId="0" fontId="9" fillId="4" borderId="3" xfId="0" applyFont="1" applyFill="1" applyBorder="1" applyAlignment="1">
      <alignment horizontal="center" vertical="top" wrapText="1"/>
    </xf>
    <xf numFmtId="164" fontId="8" fillId="4" borderId="3" xfId="0" applyNumberFormat="1" applyFont="1" applyFill="1" applyBorder="1" applyAlignment="1">
      <alignment horizontal="center" vertical="top" wrapText="1"/>
    </xf>
    <xf numFmtId="4" fontId="8" fillId="4" borderId="3" xfId="0" applyNumberFormat="1" applyFont="1" applyFill="1" applyBorder="1" applyAlignment="1">
      <alignment horizontal="center" vertical="top" wrapText="1"/>
    </xf>
    <xf numFmtId="43" fontId="8" fillId="4" borderId="3" xfId="1" applyFont="1" applyFill="1" applyBorder="1" applyAlignment="1">
      <alignment horizontal="center" vertical="top" wrapText="1"/>
    </xf>
    <xf numFmtId="43" fontId="8" fillId="5" borderId="3" xfId="1" applyFont="1" applyFill="1" applyBorder="1" applyAlignment="1">
      <alignment horizontal="center" vertical="top" wrapText="1"/>
    </xf>
    <xf numFmtId="43" fontId="8" fillId="6" borderId="3" xfId="1" applyFont="1" applyFill="1" applyBorder="1" applyAlignment="1">
      <alignment horizontal="center" vertical="top" wrapText="1"/>
    </xf>
    <xf numFmtId="43" fontId="8" fillId="7" borderId="3" xfId="1" applyFont="1" applyFill="1" applyBorder="1" applyAlignment="1">
      <alignment horizontal="center" vertical="top" wrapText="1"/>
    </xf>
    <xf numFmtId="43" fontId="8" fillId="8" borderId="3" xfId="1" applyFont="1" applyFill="1" applyBorder="1" applyAlignment="1">
      <alignment horizontal="center" vertical="top" wrapText="1"/>
    </xf>
    <xf numFmtId="0" fontId="0" fillId="0" borderId="0" xfId="0" applyAlignment="1">
      <alignment wrapText="1"/>
    </xf>
    <xf numFmtId="0" fontId="10" fillId="2" borderId="4" xfId="0" applyFont="1" applyFill="1" applyBorder="1" applyAlignment="1">
      <alignment horizontal="center" vertical="center"/>
    </xf>
    <xf numFmtId="0" fontId="9" fillId="2" borderId="4" xfId="0" applyFont="1" applyFill="1" applyBorder="1" applyAlignment="1">
      <alignment horizontal="center" vertical="center"/>
    </xf>
    <xf numFmtId="0" fontId="11" fillId="2" borderId="5" xfId="0" applyFont="1" applyFill="1" applyBorder="1" applyAlignment="1">
      <alignment horizontal="center" vertical="center"/>
    </xf>
    <xf numFmtId="0" fontId="10" fillId="2" borderId="5" xfId="0" applyFont="1" applyFill="1" applyBorder="1" applyAlignment="1">
      <alignment vertical="center"/>
    </xf>
    <xf numFmtId="0" fontId="9" fillId="2" borderId="5" xfId="0" applyFont="1" applyFill="1" applyBorder="1" applyAlignment="1">
      <alignment horizontal="center" vertical="center"/>
    </xf>
    <xf numFmtId="164"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164" fontId="9" fillId="2" borderId="4" xfId="0" applyNumberFormat="1" applyFont="1" applyFill="1" applyBorder="1" applyAlignment="1">
      <alignment horizontal="center" vertical="center"/>
    </xf>
    <xf numFmtId="4" fontId="8" fillId="2" borderId="4" xfId="2" applyNumberFormat="1" applyFont="1" applyFill="1" applyBorder="1" applyAlignment="1">
      <alignment vertical="center"/>
    </xf>
    <xf numFmtId="0" fontId="9" fillId="2" borderId="4" xfId="2" applyNumberFormat="1" applyFont="1" applyFill="1" applyBorder="1" applyAlignment="1">
      <alignment horizontal="center" vertical="center"/>
    </xf>
    <xf numFmtId="4" fontId="9" fillId="2" borderId="4" xfId="2" applyNumberFormat="1" applyFont="1" applyFill="1" applyBorder="1" applyAlignment="1">
      <alignment vertical="center"/>
    </xf>
    <xf numFmtId="44" fontId="9" fillId="2" borderId="4" xfId="2" applyFont="1" applyFill="1" applyBorder="1" applyAlignment="1">
      <alignment vertical="center"/>
    </xf>
    <xf numFmtId="44" fontId="12" fillId="5" borderId="4" xfId="2" applyFont="1" applyFill="1" applyBorder="1" applyAlignment="1">
      <alignment vertical="center"/>
    </xf>
    <xf numFmtId="44" fontId="8" fillId="7" borderId="4" xfId="2" applyFont="1" applyFill="1" applyBorder="1" applyAlignment="1">
      <alignment vertical="center"/>
    </xf>
    <xf numFmtId="8" fontId="9" fillId="2" borderId="4" xfId="2" applyNumberFormat="1" applyFont="1" applyFill="1" applyBorder="1" applyAlignment="1">
      <alignment vertical="center"/>
    </xf>
    <xf numFmtId="9" fontId="10" fillId="2" borderId="4" xfId="2" applyNumberFormat="1" applyFont="1" applyFill="1" applyBorder="1" applyAlignment="1">
      <alignment vertical="center"/>
    </xf>
    <xf numFmtId="4" fontId="13" fillId="2" borderId="5" xfId="0" applyNumberFormat="1" applyFont="1" applyFill="1" applyBorder="1" applyAlignment="1">
      <alignment horizontal="left" vertical="center" wrapText="1"/>
    </xf>
    <xf numFmtId="8" fontId="0" fillId="0" borderId="0" xfId="0" applyNumberFormat="1"/>
    <xf numFmtId="0" fontId="10" fillId="0" borderId="4" xfId="0" applyFont="1" applyBorder="1" applyAlignment="1">
      <alignment horizontal="center" vertical="center"/>
    </xf>
    <xf numFmtId="0" fontId="5" fillId="0" borderId="5" xfId="0" applyFont="1" applyBorder="1" applyAlignment="1">
      <alignment horizontal="center" vertical="center"/>
    </xf>
    <xf numFmtId="0" fontId="10" fillId="0" borderId="5" xfId="0" applyFont="1" applyBorder="1" applyAlignment="1">
      <alignment vertical="center"/>
    </xf>
    <xf numFmtId="0" fontId="10" fillId="0" borderId="5" xfId="0" applyFont="1" applyBorder="1" applyAlignment="1">
      <alignment horizontal="center" vertical="center"/>
    </xf>
    <xf numFmtId="164" fontId="10" fillId="0" borderId="5" xfId="0" applyNumberFormat="1" applyFont="1" applyBorder="1" applyAlignment="1">
      <alignment horizontal="center" vertical="center"/>
    </xf>
    <xf numFmtId="2" fontId="10" fillId="0" borderId="5" xfId="0" applyNumberFormat="1" applyFont="1" applyBorder="1" applyAlignment="1">
      <alignment horizontal="center" vertical="center"/>
    </xf>
    <xf numFmtId="164" fontId="10" fillId="0" borderId="4" xfId="0" applyNumberFormat="1" applyFont="1" applyBorder="1" applyAlignment="1">
      <alignment horizontal="center" vertical="center"/>
    </xf>
    <xf numFmtId="4" fontId="12" fillId="0" borderId="4" xfId="2" applyNumberFormat="1" applyFont="1" applyFill="1" applyBorder="1" applyAlignment="1">
      <alignment vertical="center"/>
    </xf>
    <xf numFmtId="4" fontId="10" fillId="0" borderId="4" xfId="2" applyNumberFormat="1" applyFont="1" applyFill="1" applyBorder="1" applyAlignment="1">
      <alignment vertical="center"/>
    </xf>
    <xf numFmtId="44" fontId="10" fillId="0" borderId="4" xfId="2" applyFont="1" applyFill="1" applyBorder="1" applyAlignment="1">
      <alignment vertical="center"/>
    </xf>
    <xf numFmtId="44" fontId="9" fillId="0" borderId="4" xfId="2" applyFont="1" applyFill="1" applyBorder="1" applyAlignment="1">
      <alignment vertical="center"/>
    </xf>
    <xf numFmtId="4" fontId="14" fillId="2" borderId="5" xfId="0" applyNumberFormat="1" applyFont="1" applyFill="1" applyBorder="1" applyAlignment="1">
      <alignment horizontal="left" vertical="center" wrapText="1"/>
    </xf>
    <xf numFmtId="0" fontId="5" fillId="2" borderId="5" xfId="0" applyFont="1" applyFill="1" applyBorder="1" applyAlignment="1">
      <alignment horizontal="center" vertical="center"/>
    </xf>
    <xf numFmtId="0" fontId="10" fillId="2" borderId="5" xfId="0" applyFont="1" applyFill="1" applyBorder="1" applyAlignment="1">
      <alignment horizontal="center" vertical="center"/>
    </xf>
    <xf numFmtId="164" fontId="10" fillId="2" borderId="5" xfId="0" applyNumberFormat="1" applyFont="1" applyFill="1" applyBorder="1" applyAlignment="1">
      <alignment horizontal="center" vertical="center"/>
    </xf>
    <xf numFmtId="2" fontId="10" fillId="2" borderId="5" xfId="0" applyNumberFormat="1" applyFont="1" applyFill="1" applyBorder="1" applyAlignment="1">
      <alignment horizontal="center" vertical="center"/>
    </xf>
    <xf numFmtId="164" fontId="10" fillId="2" borderId="4" xfId="0" applyNumberFormat="1" applyFont="1" applyFill="1" applyBorder="1" applyAlignment="1">
      <alignment horizontal="center" vertical="center"/>
    </xf>
    <xf numFmtId="4" fontId="12" fillId="2" borderId="4" xfId="2" applyNumberFormat="1" applyFont="1" applyFill="1" applyBorder="1" applyAlignment="1">
      <alignment vertical="center"/>
    </xf>
    <xf numFmtId="4" fontId="10" fillId="2" borderId="4" xfId="2" applyNumberFormat="1" applyFont="1" applyFill="1" applyBorder="1" applyAlignment="1">
      <alignment vertical="center"/>
    </xf>
    <xf numFmtId="44" fontId="10" fillId="2" borderId="4" xfId="2" applyFont="1" applyFill="1" applyBorder="1" applyAlignment="1">
      <alignment vertical="center"/>
    </xf>
    <xf numFmtId="8" fontId="10" fillId="2" borderId="4" xfId="2" applyNumberFormat="1" applyFont="1" applyFill="1" applyBorder="1" applyAlignment="1">
      <alignment vertical="center"/>
    </xf>
    <xf numFmtId="49" fontId="10" fillId="2" borderId="4" xfId="0" applyNumberFormat="1" applyFont="1" applyFill="1" applyBorder="1" applyAlignment="1">
      <alignment horizontal="center" vertical="center" wrapText="1"/>
    </xf>
    <xf numFmtId="0" fontId="5" fillId="3" borderId="5" xfId="0" applyFont="1" applyFill="1" applyBorder="1" applyAlignment="1">
      <alignment horizontal="center" vertical="center"/>
    </xf>
    <xf numFmtId="0" fontId="3" fillId="0" borderId="0" xfId="0" applyFont="1"/>
    <xf numFmtId="49" fontId="10" fillId="0" borderId="4" xfId="0" applyNumberFormat="1" applyFont="1" applyBorder="1" applyAlignment="1">
      <alignment horizontal="center" vertical="center"/>
    </xf>
    <xf numFmtId="0" fontId="10" fillId="3" borderId="4" xfId="0" applyFont="1" applyFill="1" applyBorder="1" applyAlignment="1">
      <alignment horizontal="center" vertical="center"/>
    </xf>
    <xf numFmtId="49" fontId="10" fillId="3" borderId="4" xfId="0" applyNumberFormat="1" applyFont="1" applyFill="1" applyBorder="1" applyAlignment="1">
      <alignment horizontal="center" vertical="center"/>
    </xf>
    <xf numFmtId="0" fontId="10" fillId="3" borderId="5" xfId="0" applyFont="1" applyFill="1" applyBorder="1" applyAlignment="1">
      <alignment vertical="center"/>
    </xf>
    <xf numFmtId="0" fontId="10" fillId="3" borderId="5" xfId="0" applyFont="1" applyFill="1" applyBorder="1" applyAlignment="1">
      <alignment horizontal="center" vertical="center"/>
    </xf>
    <xf numFmtId="164" fontId="10" fillId="3" borderId="5" xfId="0" applyNumberFormat="1" applyFont="1" applyFill="1" applyBorder="1" applyAlignment="1">
      <alignment horizontal="center" vertical="center"/>
    </xf>
    <xf numFmtId="2" fontId="10" fillId="3" borderId="5" xfId="0" applyNumberFormat="1" applyFont="1" applyFill="1" applyBorder="1" applyAlignment="1">
      <alignment horizontal="center" vertical="center"/>
    </xf>
    <xf numFmtId="43" fontId="10" fillId="3" borderId="5" xfId="1" applyFont="1" applyFill="1" applyBorder="1" applyAlignment="1">
      <alignment horizontal="center" vertical="center"/>
    </xf>
    <xf numFmtId="43" fontId="10" fillId="3" borderId="4" xfId="1" applyFont="1" applyFill="1" applyBorder="1" applyAlignment="1">
      <alignment horizontal="center" vertical="center"/>
    </xf>
    <xf numFmtId="4" fontId="12" fillId="3" borderId="4" xfId="2" applyNumberFormat="1" applyFont="1" applyFill="1" applyBorder="1" applyAlignment="1">
      <alignment vertical="center"/>
    </xf>
    <xf numFmtId="0" fontId="9" fillId="3" borderId="4" xfId="2" applyNumberFormat="1" applyFont="1" applyFill="1" applyBorder="1" applyAlignment="1">
      <alignment horizontal="center" vertical="center"/>
    </xf>
    <xf numFmtId="4" fontId="10" fillId="3" borderId="4" xfId="2" applyNumberFormat="1" applyFont="1" applyFill="1" applyBorder="1" applyAlignment="1">
      <alignment vertical="center"/>
    </xf>
    <xf numFmtId="44" fontId="10" fillId="3" borderId="4" xfId="2" applyFont="1" applyFill="1" applyBorder="1" applyAlignment="1">
      <alignment vertical="center"/>
    </xf>
    <xf numFmtId="44" fontId="9" fillId="3" borderId="4" xfId="2" applyFont="1" applyFill="1" applyBorder="1" applyAlignment="1">
      <alignment vertical="center"/>
    </xf>
    <xf numFmtId="43" fontId="10" fillId="3" borderId="4" xfId="1" applyFont="1" applyFill="1" applyBorder="1" applyAlignment="1">
      <alignment vertical="center"/>
    </xf>
    <xf numFmtId="44" fontId="8" fillId="3" borderId="4" xfId="2" applyFont="1" applyFill="1" applyBorder="1" applyAlignment="1">
      <alignment vertical="center"/>
    </xf>
    <xf numFmtId="8" fontId="10" fillId="3" borderId="4" xfId="2" applyNumberFormat="1" applyFont="1" applyFill="1" applyBorder="1" applyAlignment="1">
      <alignment vertical="center"/>
    </xf>
    <xf numFmtId="9" fontId="10" fillId="3" borderId="4" xfId="2" applyNumberFormat="1" applyFont="1" applyFill="1" applyBorder="1" applyAlignment="1">
      <alignment vertical="center"/>
    </xf>
    <xf numFmtId="4" fontId="14" fillId="3" borderId="5" xfId="0" applyNumberFormat="1" applyFont="1" applyFill="1" applyBorder="1" applyAlignment="1">
      <alignment horizontal="left" vertical="center" wrapText="1"/>
    </xf>
    <xf numFmtId="8" fontId="4" fillId="5" borderId="0" xfId="0" applyNumberFormat="1" applyFont="1" applyFill="1"/>
    <xf numFmtId="0" fontId="9" fillId="0" borderId="4" xfId="0" applyFont="1" applyBorder="1" applyAlignment="1">
      <alignment horizontal="center" vertical="center"/>
    </xf>
    <xf numFmtId="0" fontId="11" fillId="0" borderId="5" xfId="0" applyFont="1" applyBorder="1" applyAlignment="1">
      <alignment horizontal="center" vertical="center"/>
    </xf>
    <xf numFmtId="0" fontId="9" fillId="0" borderId="5" xfId="0" applyFont="1" applyBorder="1" applyAlignment="1">
      <alignment vertical="center"/>
    </xf>
    <xf numFmtId="0" fontId="9" fillId="0" borderId="5" xfId="0" applyFont="1" applyBorder="1" applyAlignment="1">
      <alignment horizontal="center" vertical="center"/>
    </xf>
    <xf numFmtId="164" fontId="9" fillId="0" borderId="5" xfId="0" applyNumberFormat="1" applyFont="1" applyBorder="1" applyAlignment="1">
      <alignment horizontal="center" vertical="center"/>
    </xf>
    <xf numFmtId="2" fontId="9" fillId="0" borderId="5" xfId="0" applyNumberFormat="1" applyFont="1" applyBorder="1" applyAlignment="1">
      <alignment horizontal="center" vertical="center"/>
    </xf>
    <xf numFmtId="164" fontId="9" fillId="0" borderId="4" xfId="0" applyNumberFormat="1" applyFont="1" applyBorder="1" applyAlignment="1">
      <alignment horizontal="center" vertical="center"/>
    </xf>
    <xf numFmtId="4" fontId="8" fillId="0" borderId="4" xfId="2" applyNumberFormat="1" applyFont="1" applyFill="1" applyBorder="1" applyAlignment="1">
      <alignment vertical="center"/>
    </xf>
    <xf numFmtId="0" fontId="9" fillId="0" borderId="4" xfId="2" applyNumberFormat="1" applyFont="1" applyFill="1" applyBorder="1" applyAlignment="1">
      <alignment horizontal="center" vertical="center"/>
    </xf>
    <xf numFmtId="4" fontId="9" fillId="0" borderId="4" xfId="2" applyNumberFormat="1" applyFont="1" applyFill="1" applyBorder="1" applyAlignment="1">
      <alignment vertical="center"/>
    </xf>
    <xf numFmtId="44" fontId="6" fillId="0" borderId="0" xfId="0" applyNumberFormat="1" applyFont="1"/>
    <xf numFmtId="8" fontId="6" fillId="0" borderId="0" xfId="0" applyNumberFormat="1" applyFont="1"/>
    <xf numFmtId="49" fontId="10" fillId="7" borderId="4" xfId="0" applyNumberFormat="1" applyFont="1" applyFill="1" applyBorder="1" applyAlignment="1">
      <alignment horizontal="center" vertical="center" wrapText="1"/>
    </xf>
    <xf numFmtId="0" fontId="5" fillId="7" borderId="5" xfId="0" applyFont="1" applyFill="1" applyBorder="1" applyAlignment="1">
      <alignment horizontal="center" vertical="center"/>
    </xf>
    <xf numFmtId="0" fontId="10" fillId="7" borderId="5" xfId="0" applyFont="1" applyFill="1" applyBorder="1" applyAlignment="1">
      <alignment vertical="center"/>
    </xf>
    <xf numFmtId="0" fontId="10" fillId="7" borderId="5" xfId="0" applyFont="1" applyFill="1" applyBorder="1" applyAlignment="1">
      <alignment horizontal="center" vertical="center"/>
    </xf>
    <xf numFmtId="164" fontId="10" fillId="7" borderId="5" xfId="0" applyNumberFormat="1" applyFont="1" applyFill="1" applyBorder="1" applyAlignment="1">
      <alignment horizontal="center" vertical="center"/>
    </xf>
    <xf numFmtId="2" fontId="10" fillId="7" borderId="5" xfId="0" applyNumberFormat="1" applyFont="1" applyFill="1" applyBorder="1" applyAlignment="1">
      <alignment horizontal="center" vertical="center"/>
    </xf>
    <xf numFmtId="164" fontId="10" fillId="7" borderId="4" xfId="0" applyNumberFormat="1" applyFont="1" applyFill="1" applyBorder="1" applyAlignment="1">
      <alignment horizontal="center" vertical="center"/>
    </xf>
    <xf numFmtId="4" fontId="12" fillId="7" borderId="4" xfId="2" applyNumberFormat="1" applyFont="1" applyFill="1" applyBorder="1" applyAlignment="1">
      <alignment vertical="center"/>
    </xf>
    <xf numFmtId="0" fontId="10" fillId="7" borderId="4" xfId="2" applyNumberFormat="1" applyFont="1" applyFill="1" applyBorder="1" applyAlignment="1">
      <alignment horizontal="center" vertical="center"/>
    </xf>
    <xf numFmtId="4" fontId="10" fillId="7" borderId="4" xfId="2" applyNumberFormat="1" applyFont="1" applyFill="1" applyBorder="1" applyAlignment="1">
      <alignment vertical="center"/>
    </xf>
    <xf numFmtId="44" fontId="10" fillId="7" borderId="4" xfId="2" applyFont="1" applyFill="1" applyBorder="1" applyAlignment="1">
      <alignment vertical="center"/>
    </xf>
    <xf numFmtId="44" fontId="9" fillId="7" borderId="4" xfId="2" applyFont="1" applyFill="1" applyBorder="1" applyAlignment="1">
      <alignment vertical="center"/>
    </xf>
    <xf numFmtId="43" fontId="10" fillId="7" borderId="4" xfId="1" applyFont="1" applyFill="1" applyBorder="1" applyAlignment="1">
      <alignment vertical="center"/>
    </xf>
    <xf numFmtId="8" fontId="10" fillId="7" borderId="4" xfId="2" applyNumberFormat="1" applyFont="1" applyFill="1" applyBorder="1" applyAlignment="1">
      <alignment vertical="center"/>
    </xf>
    <xf numFmtId="9" fontId="10" fillId="7" borderId="4" xfId="2" applyNumberFormat="1" applyFont="1" applyFill="1" applyBorder="1" applyAlignment="1">
      <alignment vertical="center"/>
    </xf>
    <xf numFmtId="4" fontId="14" fillId="7" borderId="5" xfId="0" applyNumberFormat="1" applyFont="1" applyFill="1" applyBorder="1" applyAlignment="1">
      <alignment horizontal="left" vertical="center" wrapText="1"/>
    </xf>
    <xf numFmtId="44" fontId="0" fillId="0" borderId="0" xfId="0" applyNumberFormat="1" applyAlignment="1">
      <alignment vertical="center"/>
    </xf>
    <xf numFmtId="164" fontId="10" fillId="3" borderId="4" xfId="0" applyNumberFormat="1" applyFont="1" applyFill="1" applyBorder="1" applyAlignment="1">
      <alignment horizontal="center" vertical="center"/>
    </xf>
    <xf numFmtId="9" fontId="9" fillId="2" borderId="4" xfId="2" applyNumberFormat="1" applyFont="1" applyFill="1" applyBorder="1" applyAlignment="1">
      <alignment vertical="center"/>
    </xf>
    <xf numFmtId="0" fontId="10" fillId="7" borderId="4" xfId="0" applyFont="1" applyFill="1" applyBorder="1" applyAlignment="1">
      <alignment horizontal="center" vertical="center"/>
    </xf>
    <xf numFmtId="0" fontId="9" fillId="7" borderId="4" xfId="2" applyNumberFormat="1" applyFont="1" applyFill="1" applyBorder="1" applyAlignment="1">
      <alignment horizontal="center" vertical="center"/>
    </xf>
    <xf numFmtId="0" fontId="14" fillId="2" borderId="5" xfId="0" applyFont="1" applyFill="1" applyBorder="1" applyAlignment="1">
      <alignment horizontal="left" wrapText="1"/>
    </xf>
    <xf numFmtId="44" fontId="0" fillId="0" borderId="0" xfId="2" applyFont="1"/>
    <xf numFmtId="44" fontId="10" fillId="7" borderId="5" xfId="2" applyFont="1" applyFill="1" applyBorder="1" applyAlignment="1">
      <alignment vertical="center"/>
    </xf>
    <xf numFmtId="43" fontId="10" fillId="3" borderId="5" xfId="1" applyFont="1" applyFill="1" applyBorder="1" applyAlignment="1">
      <alignment vertical="center"/>
    </xf>
    <xf numFmtId="49" fontId="9" fillId="0" borderId="4" xfId="0" applyNumberFormat="1" applyFont="1" applyBorder="1" applyAlignment="1">
      <alignment horizontal="center" vertical="center" wrapText="1"/>
    </xf>
    <xf numFmtId="164" fontId="8" fillId="0" borderId="5" xfId="0" applyNumberFormat="1" applyFont="1" applyBorder="1" applyAlignment="1">
      <alignment horizontal="center" vertical="center"/>
    </xf>
    <xf numFmtId="164" fontId="8" fillId="0" borderId="4" xfId="0" applyNumberFormat="1" applyFont="1" applyBorder="1" applyAlignment="1">
      <alignment horizontal="center" vertical="center"/>
    </xf>
    <xf numFmtId="49" fontId="10" fillId="7" borderId="5" xfId="0" applyNumberFormat="1" applyFont="1" applyFill="1" applyBorder="1" applyAlignment="1">
      <alignment horizontal="center" vertical="center" wrapText="1"/>
    </xf>
    <xf numFmtId="0" fontId="0" fillId="7" borderId="5" xfId="0" applyFill="1" applyBorder="1" applyAlignment="1">
      <alignment horizontal="center"/>
    </xf>
    <xf numFmtId="0" fontId="0" fillId="7" borderId="5" xfId="0" applyFill="1" applyBorder="1"/>
    <xf numFmtId="14" fontId="0" fillId="7" borderId="5" xfId="0" applyNumberFormat="1" applyFill="1" applyBorder="1"/>
    <xf numFmtId="4" fontId="12" fillId="7" borderId="5" xfId="2" applyNumberFormat="1" applyFont="1" applyFill="1" applyBorder="1" applyAlignment="1">
      <alignment vertical="center"/>
    </xf>
    <xf numFmtId="0" fontId="9" fillId="7" borderId="5" xfId="2" applyNumberFormat="1" applyFont="1" applyFill="1" applyBorder="1" applyAlignment="1">
      <alignment horizontal="center" vertical="center"/>
    </xf>
    <xf numFmtId="4" fontId="10" fillId="7" borderId="5" xfId="2" applyNumberFormat="1" applyFont="1" applyFill="1" applyBorder="1" applyAlignment="1">
      <alignment vertical="center"/>
    </xf>
    <xf numFmtId="44" fontId="9" fillId="7" borderId="5" xfId="2" applyFont="1" applyFill="1" applyBorder="1" applyAlignment="1">
      <alignment vertical="center"/>
    </xf>
    <xf numFmtId="0" fontId="0" fillId="0" borderId="0" xfId="0" applyAlignment="1">
      <alignment horizontal="center"/>
    </xf>
    <xf numFmtId="44" fontId="4" fillId="5" borderId="0" xfId="0" applyNumberFormat="1" applyFont="1" applyFill="1"/>
    <xf numFmtId="44" fontId="4" fillId="7" borderId="0" xfId="0" applyNumberFormat="1" applyFont="1" applyFill="1"/>
    <xf numFmtId="8" fontId="4" fillId="0" borderId="0" xfId="0" applyNumberFormat="1" applyFont="1"/>
    <xf numFmtId="0" fontId="4" fillId="5" borderId="0" xfId="0" applyFont="1" applyFill="1"/>
    <xf numFmtId="43" fontId="0" fillId="0" borderId="0" xfId="0" applyNumberFormat="1"/>
    <xf numFmtId="8" fontId="4" fillId="9" borderId="0" xfId="0" applyNumberFormat="1" applyFont="1" applyFill="1"/>
    <xf numFmtId="43" fontId="0" fillId="0" borderId="0" xfId="1" applyFont="1"/>
    <xf numFmtId="0" fontId="4" fillId="7" borderId="0" xfId="0" applyFont="1" applyFill="1"/>
    <xf numFmtId="44" fontId="0" fillId="5" borderId="0" xfId="0" applyNumberFormat="1" applyFill="1"/>
    <xf numFmtId="43" fontId="4" fillId="0" borderId="0" xfId="1" applyFont="1" applyFill="1"/>
    <xf numFmtId="43" fontId="4" fillId="5" borderId="0" xfId="1" applyFont="1" applyFill="1"/>
    <xf numFmtId="43" fontId="4" fillId="5" borderId="0" xfId="0" applyNumberFormat="1" applyFont="1" applyFill="1"/>
    <xf numFmtId="164" fontId="9" fillId="3" borderId="5" xfId="0" applyNumberFormat="1" applyFont="1" applyFill="1" applyBorder="1" applyAlignment="1">
      <alignment horizontal="center" vertical="center"/>
    </xf>
    <xf numFmtId="0" fontId="9" fillId="3" borderId="4" xfId="0" applyFont="1" applyFill="1" applyBorder="1" applyAlignment="1">
      <alignment horizontal="center" vertical="center"/>
    </xf>
    <xf numFmtId="49" fontId="9" fillId="3" borderId="4" xfId="0" applyNumberFormat="1" applyFont="1" applyFill="1" applyBorder="1" applyAlignment="1">
      <alignment horizontal="center" vertical="center"/>
    </xf>
    <xf numFmtId="0" fontId="11" fillId="3" borderId="5" xfId="0" applyFont="1" applyFill="1" applyBorder="1" applyAlignment="1">
      <alignment horizontal="center" vertical="center"/>
    </xf>
    <xf numFmtId="0" fontId="9" fillId="3" borderId="5" xfId="0" applyFont="1" applyFill="1" applyBorder="1" applyAlignment="1">
      <alignment vertical="center"/>
    </xf>
    <xf numFmtId="0" fontId="11" fillId="3" borderId="5" xfId="0" applyFont="1" applyFill="1" applyBorder="1" applyAlignment="1">
      <alignment horizontal="center" vertical="center" wrapText="1"/>
    </xf>
    <xf numFmtId="0" fontId="9" fillId="3" borderId="5" xfId="0" applyFont="1" applyFill="1" applyBorder="1" applyAlignment="1">
      <alignment horizontal="center" vertical="center"/>
    </xf>
    <xf numFmtId="2" fontId="9" fillId="3" borderId="5" xfId="0" applyNumberFormat="1" applyFont="1" applyFill="1" applyBorder="1" applyAlignment="1">
      <alignment horizontal="center" vertical="center"/>
    </xf>
    <xf numFmtId="164" fontId="9" fillId="3" borderId="4" xfId="0" applyNumberFormat="1" applyFont="1" applyFill="1" applyBorder="1" applyAlignment="1">
      <alignment horizontal="center" vertical="center"/>
    </xf>
    <xf numFmtId="4" fontId="9" fillId="3" borderId="4" xfId="2" applyNumberFormat="1" applyFont="1" applyFill="1" applyBorder="1" applyAlignment="1">
      <alignment vertical="center"/>
    </xf>
    <xf numFmtId="8" fontId="9" fillId="3" borderId="4" xfId="2" applyNumberFormat="1" applyFont="1" applyFill="1" applyBorder="1" applyAlignment="1">
      <alignment vertical="center"/>
    </xf>
    <xf numFmtId="9" fontId="9" fillId="3" borderId="4" xfId="2" applyNumberFormat="1" applyFont="1" applyFill="1" applyBorder="1" applyAlignment="1">
      <alignment vertical="center"/>
    </xf>
    <xf numFmtId="4" fontId="13" fillId="3" borderId="5" xfId="0" applyNumberFormat="1" applyFont="1" applyFill="1" applyBorder="1" applyAlignment="1">
      <alignment horizontal="left" vertical="center" wrapText="1"/>
    </xf>
    <xf numFmtId="44" fontId="3" fillId="2" borderId="0" xfId="0" applyNumberFormat="1" applyFont="1" applyFill="1"/>
    <xf numFmtId="8" fontId="3" fillId="2" borderId="0" xfId="0" applyNumberFormat="1" applyFont="1" applyFill="1"/>
    <xf numFmtId="0" fontId="3" fillId="2" borderId="0" xfId="0" applyFont="1" applyFill="1"/>
    <xf numFmtId="44" fontId="10" fillId="5" borderId="4" xfId="2" applyFont="1" applyFill="1" applyBorder="1" applyAlignment="1">
      <alignment vertical="center"/>
    </xf>
    <xf numFmtId="44" fontId="10" fillId="2" borderId="5" xfId="2" applyFont="1" applyFill="1" applyBorder="1" applyAlignment="1">
      <alignment vertical="center"/>
    </xf>
  </cellXfs>
  <cellStyles count="3">
    <cellStyle name="Millares" xfId="1" builtinId="3"/>
    <cellStyle name="Moneda" xfId="2"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rv-conta\00..archivos\Prestaciones\0.BASE%20DE%20DATOS%20LAFHER%20NUEVA%2020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UMA Y SMG"/>
      <sheetName val="BAJAS PERSONAL"/>
      <sheetName val="ASESORES"/>
      <sheetName val="baja asesor"/>
      <sheetName val="TABULADOR"/>
      <sheetName val="Descuento Quincenal"/>
      <sheetName val="VACACIONES1"/>
      <sheetName val="INCIDENCIAS"/>
      <sheetName val="Fact Int"/>
      <sheetName val="Hoja1"/>
      <sheetName val="BASE (2)"/>
    </sheetNames>
    <sheetDataSet>
      <sheetData sheetId="0" refreshError="1"/>
      <sheetData sheetId="1" refreshError="1">
        <row r="15">
          <cell r="F15">
            <v>6306.48</v>
          </cell>
        </row>
        <row r="26">
          <cell r="F26">
            <v>0.11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7CB5-F36F-48E6-A115-5ADC337A67B5}">
  <dimension ref="A1:AK35"/>
  <sheetViews>
    <sheetView tabSelected="1" topLeftCell="D1" zoomScale="80" zoomScaleNormal="80" workbookViewId="0">
      <selection activeCell="N20" sqref="N20"/>
    </sheetView>
  </sheetViews>
  <sheetFormatPr baseColWidth="10" defaultRowHeight="15" x14ac:dyDescent="0.25"/>
  <cols>
    <col min="1" max="1" width="4.42578125" style="138" bestFit="1" customWidth="1"/>
    <col min="2" max="2" width="5.7109375" style="138" customWidth="1"/>
    <col min="3" max="3" width="10.28515625" style="138" customWidth="1"/>
    <col min="4" max="4" width="14.7109375" customWidth="1"/>
    <col min="5" max="5" width="15" hidden="1" customWidth="1"/>
    <col min="6" max="6" width="15.5703125" hidden="1" customWidth="1"/>
    <col min="7" max="7" width="20.5703125" hidden="1" customWidth="1"/>
    <col min="8" max="8" width="14.28515625" hidden="1" customWidth="1"/>
    <col min="9" max="9" width="13" hidden="1" customWidth="1"/>
    <col min="10" max="10" width="12.5703125" hidden="1" customWidth="1"/>
    <col min="11" max="11" width="13" hidden="1" customWidth="1"/>
    <col min="12" max="12" width="10.28515625" hidden="1" customWidth="1"/>
    <col min="13" max="13" width="12.28515625" style="5" hidden="1" customWidth="1"/>
    <col min="14" max="14" width="15" customWidth="1"/>
    <col min="15" max="15" width="13.5703125" style="11" customWidth="1"/>
    <col min="16" max="16" width="13.42578125" customWidth="1"/>
    <col min="17" max="17" width="14.140625" customWidth="1"/>
    <col min="18" max="18" width="15.28515625" customWidth="1"/>
    <col min="19" max="19" width="13.5703125" customWidth="1"/>
    <col min="20" max="20" width="14.28515625" customWidth="1"/>
    <col min="21" max="21" width="15.7109375" style="142" customWidth="1"/>
    <col min="22" max="23" width="14.140625" customWidth="1"/>
    <col min="24" max="24" width="12.28515625" bestFit="1" customWidth="1"/>
    <col min="25" max="25" width="12" style="8" customWidth="1"/>
    <col min="26" max="26" width="13.42578125" bestFit="1" customWidth="1"/>
    <col min="27" max="27" width="11.7109375" customWidth="1"/>
    <col min="28" max="28" width="17.85546875" style="146" customWidth="1"/>
    <col min="29" max="29" width="17.85546875" customWidth="1"/>
    <col min="30" max="30" width="8.85546875" hidden="1" customWidth="1"/>
    <col min="31" max="31" width="12.7109375" hidden="1" customWidth="1"/>
    <col min="32" max="32" width="16" customWidth="1"/>
    <col min="33" max="33" width="17.85546875" customWidth="1"/>
    <col min="34" max="34" width="58.85546875" customWidth="1"/>
    <col min="35" max="35" width="12" customWidth="1"/>
    <col min="36" max="36" width="12.42578125" bestFit="1" customWidth="1"/>
  </cols>
  <sheetData>
    <row r="1" spans="1:37" x14ac:dyDescent="0.25">
      <c r="A1" s="1"/>
      <c r="B1" s="1"/>
      <c r="C1" s="2"/>
      <c r="D1" s="3"/>
      <c r="E1" s="2"/>
      <c r="F1" s="2"/>
      <c r="G1" s="2"/>
      <c r="H1" s="2"/>
      <c r="I1" s="2"/>
      <c r="J1" s="4"/>
      <c r="K1" s="4"/>
      <c r="L1" s="4"/>
      <c r="O1" s="6"/>
      <c r="P1" s="6"/>
      <c r="Q1" s="6"/>
      <c r="R1" s="6"/>
      <c r="S1" s="6"/>
      <c r="AB1" s="7"/>
    </row>
    <row r="2" spans="1:37" ht="15.75" x14ac:dyDescent="0.25">
      <c r="A2" s="1"/>
      <c r="B2" s="1"/>
      <c r="C2" s="9" t="s">
        <v>0</v>
      </c>
      <c r="D2" s="10"/>
      <c r="E2" s="2"/>
      <c r="F2" s="2"/>
      <c r="G2" s="2"/>
      <c r="H2" s="2"/>
      <c r="I2" s="2"/>
      <c r="J2" s="4"/>
      <c r="K2" s="4"/>
      <c r="L2" s="4"/>
      <c r="AB2" s="7"/>
    </row>
    <row r="3" spans="1:37" x14ac:dyDescent="0.25">
      <c r="A3" s="1"/>
      <c r="B3" s="1"/>
      <c r="C3" s="1"/>
      <c r="D3" s="10"/>
      <c r="E3" s="2"/>
      <c r="F3" s="2"/>
      <c r="G3" s="2"/>
      <c r="H3" s="2"/>
      <c r="I3" s="2"/>
      <c r="J3" s="4"/>
      <c r="K3" s="4"/>
      <c r="L3" s="4"/>
      <c r="R3" t="s">
        <v>1</v>
      </c>
      <c r="S3">
        <v>117.31</v>
      </c>
      <c r="U3" s="139"/>
      <c r="AB3" s="7"/>
      <c r="AH3" s="13" t="s">
        <v>2</v>
      </c>
    </row>
    <row r="4" spans="1:37" ht="15.75" thickBot="1" x14ac:dyDescent="0.3">
      <c r="A4" s="1"/>
      <c r="B4" s="1"/>
      <c r="C4" s="2"/>
      <c r="D4" s="10"/>
      <c r="E4" s="2"/>
      <c r="F4" s="2"/>
      <c r="G4" s="2"/>
      <c r="H4" s="2"/>
      <c r="I4" s="2"/>
      <c r="J4" s="4">
        <v>46142</v>
      </c>
      <c r="K4" s="4"/>
      <c r="L4" s="4"/>
      <c r="Q4" s="8"/>
      <c r="AB4" s="7"/>
      <c r="AG4" s="14">
        <v>46142</v>
      </c>
      <c r="AH4" s="15"/>
    </row>
    <row r="5" spans="1:37" ht="54.75" thickBot="1" x14ac:dyDescent="0.3">
      <c r="A5" s="16" t="s">
        <v>3</v>
      </c>
      <c r="B5" s="17" t="s">
        <v>4</v>
      </c>
      <c r="C5" s="18" t="s">
        <v>5</v>
      </c>
      <c r="D5" s="19" t="s">
        <v>6</v>
      </c>
      <c r="E5" s="18" t="s">
        <v>7</v>
      </c>
      <c r="F5" s="18" t="s">
        <v>8</v>
      </c>
      <c r="G5" s="18" t="s">
        <v>9</v>
      </c>
      <c r="H5" s="18" t="s">
        <v>10</v>
      </c>
      <c r="I5" s="20" t="s">
        <v>11</v>
      </c>
      <c r="J5" s="20" t="s">
        <v>12</v>
      </c>
      <c r="K5" s="20" t="s">
        <v>13</v>
      </c>
      <c r="L5" s="20" t="s">
        <v>14</v>
      </c>
      <c r="M5" s="21" t="s">
        <v>15</v>
      </c>
      <c r="N5" s="20" t="s">
        <v>16</v>
      </c>
      <c r="O5" s="21" t="s">
        <v>17</v>
      </c>
      <c r="P5" s="22" t="s">
        <v>18</v>
      </c>
      <c r="Q5" s="22" t="s">
        <v>19</v>
      </c>
      <c r="R5" s="22" t="s">
        <v>20</v>
      </c>
      <c r="S5" s="22" t="s">
        <v>21</v>
      </c>
      <c r="T5" s="22" t="s">
        <v>22</v>
      </c>
      <c r="U5" s="23" t="s">
        <v>23</v>
      </c>
      <c r="V5" s="24" t="s">
        <v>24</v>
      </c>
      <c r="W5" s="24" t="s">
        <v>25</v>
      </c>
      <c r="X5" s="24" t="s">
        <v>26</v>
      </c>
      <c r="Y5" s="24" t="s">
        <v>27</v>
      </c>
      <c r="Z5" s="24" t="s">
        <v>28</v>
      </c>
      <c r="AA5" s="24" t="s">
        <v>29</v>
      </c>
      <c r="AB5" s="25" t="s">
        <v>30</v>
      </c>
      <c r="AC5" s="22" t="s">
        <v>31</v>
      </c>
      <c r="AD5" s="22" t="s">
        <v>32</v>
      </c>
      <c r="AE5" s="22" t="s">
        <v>33</v>
      </c>
      <c r="AF5" s="26" t="s">
        <v>34</v>
      </c>
      <c r="AG5" s="26" t="s">
        <v>35</v>
      </c>
      <c r="AH5" s="18" t="s">
        <v>36</v>
      </c>
      <c r="AJ5" s="27" t="s">
        <v>37</v>
      </c>
      <c r="AK5" s="27" t="s">
        <v>38</v>
      </c>
    </row>
    <row r="6" spans="1:37" x14ac:dyDescent="0.25">
      <c r="A6" s="71">
        <v>13</v>
      </c>
      <c r="B6" s="72" t="s">
        <v>59</v>
      </c>
      <c r="C6" s="68" t="s">
        <v>50</v>
      </c>
      <c r="D6" s="73" t="s">
        <v>95</v>
      </c>
      <c r="E6" s="68" t="s">
        <v>52</v>
      </c>
      <c r="F6" s="68" t="s">
        <v>58</v>
      </c>
      <c r="G6" s="68" t="s">
        <v>60</v>
      </c>
      <c r="H6" s="74" t="s">
        <v>43</v>
      </c>
      <c r="I6" s="75">
        <v>45880</v>
      </c>
      <c r="J6" s="76">
        <v>0.71780821917808224</v>
      </c>
      <c r="K6" s="77"/>
      <c r="L6" s="78" t="s">
        <v>55</v>
      </c>
      <c r="M6" s="79">
        <v>370.43</v>
      </c>
      <c r="N6" s="80">
        <v>1.0492999999999999</v>
      </c>
      <c r="O6" s="81">
        <v>388.69219899999996</v>
      </c>
      <c r="P6" s="82">
        <v>11261.07</v>
      </c>
      <c r="Q6" s="83">
        <v>1181.6199999999999</v>
      </c>
      <c r="R6" s="82">
        <v>1181.6199999999999</v>
      </c>
      <c r="S6" s="83">
        <v>1426.4896000000001</v>
      </c>
      <c r="T6" s="82">
        <f>IF(L6="Si",P6*'[1]UMA Y SMG'!$F$26,0)</f>
        <v>0</v>
      </c>
      <c r="U6" s="40">
        <f>SUM(P6:T6)</f>
        <v>15050.799599999998</v>
      </c>
      <c r="V6" s="82"/>
      <c r="W6" s="82"/>
      <c r="X6" s="82"/>
      <c r="Y6" s="83"/>
      <c r="Z6" s="82"/>
      <c r="AA6" s="84"/>
      <c r="AB6" s="85">
        <f>SUM(U6:AA6)</f>
        <v>15050.799599999998</v>
      </c>
      <c r="AC6" s="86">
        <f>AB6/2</f>
        <v>7525.3997999999992</v>
      </c>
      <c r="AD6" s="87">
        <v>0</v>
      </c>
      <c r="AE6" s="86">
        <v>0</v>
      </c>
      <c r="AF6" s="82">
        <f>AB6-AE6</f>
        <v>15050.799599999998</v>
      </c>
      <c r="AG6" s="82">
        <f>AF6/2/15*14</f>
        <v>7023.7064799999998</v>
      </c>
      <c r="AH6" s="88" t="s">
        <v>61</v>
      </c>
      <c r="AI6" s="6">
        <f t="shared" ref="AI6" si="0">AB6-U6-V6-W6-X6-Y6-Z6-AA6</f>
        <v>0</v>
      </c>
      <c r="AJ6" s="89">
        <f t="shared" ref="AJ6" si="1">AC6-AG6</f>
        <v>501.6933199999994</v>
      </c>
      <c r="AK6" t="s">
        <v>62</v>
      </c>
    </row>
    <row r="7" spans="1:37" s="8" customFormat="1" ht="20.25" customHeight="1" x14ac:dyDescent="0.25">
      <c r="A7" s="90">
        <v>14</v>
      </c>
      <c r="B7" s="90">
        <v>171</v>
      </c>
      <c r="C7" s="91" t="s">
        <v>56</v>
      </c>
      <c r="D7" s="92" t="s">
        <v>94</v>
      </c>
      <c r="E7" s="91" t="s">
        <v>40</v>
      </c>
      <c r="F7" s="91" t="s">
        <v>57</v>
      </c>
      <c r="G7" s="91" t="s">
        <v>48</v>
      </c>
      <c r="H7" s="93" t="s">
        <v>49</v>
      </c>
      <c r="I7" s="94">
        <v>43973</v>
      </c>
      <c r="J7" s="95">
        <v>5.9424657534246572</v>
      </c>
      <c r="K7" s="94"/>
      <c r="L7" s="96" t="s">
        <v>55</v>
      </c>
      <c r="M7" s="97">
        <v>781.01</v>
      </c>
      <c r="N7" s="98">
        <v>1.0548</v>
      </c>
      <c r="O7" s="99">
        <v>823.809348</v>
      </c>
      <c r="P7" s="56">
        <v>23742.7</v>
      </c>
      <c r="Q7" s="39">
        <v>2504.38</v>
      </c>
      <c r="R7" s="56">
        <v>2504.38</v>
      </c>
      <c r="S7" s="56">
        <v>1426.4896000000001</v>
      </c>
      <c r="T7" s="56">
        <v>0</v>
      </c>
      <c r="U7" s="40">
        <f t="shared" ref="U7:U20" si="2">SUM(P7:T7)</f>
        <v>30177.949600000004</v>
      </c>
      <c r="V7" s="56"/>
      <c r="W7" s="56">
        <v>2000</v>
      </c>
      <c r="X7" s="56"/>
      <c r="Y7" s="56"/>
      <c r="Z7" s="56"/>
      <c r="AA7" s="39"/>
      <c r="AB7" s="41">
        <f t="shared" ref="AB7:AB21" si="3">SUM(U7:AA7)</f>
        <v>32177.949600000004</v>
      </c>
      <c r="AC7" s="66">
        <f>AB7/2</f>
        <v>16088.974800000002</v>
      </c>
      <c r="AD7" s="43">
        <v>0</v>
      </c>
      <c r="AE7" s="42">
        <v>0</v>
      </c>
      <c r="AF7" s="65">
        <f t="shared" ref="AF7:AF20" si="4">AB7-AE7</f>
        <v>32177.949600000004</v>
      </c>
      <c r="AG7" s="65">
        <f>AF7/2</f>
        <v>16088.974800000002</v>
      </c>
      <c r="AH7" s="44" t="s">
        <v>45</v>
      </c>
      <c r="AI7" s="100">
        <v>0</v>
      </c>
      <c r="AJ7" s="45">
        <v>0</v>
      </c>
    </row>
    <row r="8" spans="1:37" ht="45" customHeight="1" x14ac:dyDescent="0.25">
      <c r="A8" s="28">
        <v>18</v>
      </c>
      <c r="B8" s="102" t="s">
        <v>64</v>
      </c>
      <c r="C8" s="103" t="s">
        <v>65</v>
      </c>
      <c r="D8" s="104" t="s">
        <v>96</v>
      </c>
      <c r="E8" s="103" t="s">
        <v>40</v>
      </c>
      <c r="F8" s="103" t="s">
        <v>47</v>
      </c>
      <c r="G8" s="103" t="s">
        <v>66</v>
      </c>
      <c r="H8" s="105" t="s">
        <v>43</v>
      </c>
      <c r="I8" s="106">
        <v>41456</v>
      </c>
      <c r="J8" s="107">
        <v>12.838356164383562</v>
      </c>
      <c r="K8" s="106"/>
      <c r="L8" s="108" t="s">
        <v>55</v>
      </c>
      <c r="M8" s="109"/>
      <c r="N8" s="110">
        <v>1.0575000000000001</v>
      </c>
      <c r="O8" s="111" t="s">
        <v>67</v>
      </c>
      <c r="P8" s="112">
        <v>0</v>
      </c>
      <c r="Q8" s="113">
        <v>0</v>
      </c>
      <c r="R8" s="112"/>
      <c r="S8" s="112"/>
      <c r="T8" s="112">
        <v>0</v>
      </c>
      <c r="U8" s="40">
        <f t="shared" si="2"/>
        <v>0</v>
      </c>
      <c r="V8" s="112">
        <v>28121.84</v>
      </c>
      <c r="W8" s="112"/>
      <c r="X8" s="112"/>
      <c r="Y8" s="112"/>
      <c r="Z8" s="112"/>
      <c r="AA8" s="114"/>
      <c r="AB8" s="41">
        <f t="shared" si="3"/>
        <v>28121.84</v>
      </c>
      <c r="AC8" s="115">
        <f t="shared" ref="AC8:AC21" si="5">AB8/2</f>
        <v>14060.92</v>
      </c>
      <c r="AD8" s="116">
        <v>0</v>
      </c>
      <c r="AE8" s="115">
        <v>0</v>
      </c>
      <c r="AF8" s="112">
        <f t="shared" si="4"/>
        <v>28121.84</v>
      </c>
      <c r="AG8" s="112">
        <f t="shared" ref="AG8:AG23" si="6">AF8/2</f>
        <v>14060.92</v>
      </c>
      <c r="AH8" s="117" t="s">
        <v>68</v>
      </c>
      <c r="AI8" s="118">
        <v>0</v>
      </c>
      <c r="AJ8" s="45">
        <v>0</v>
      </c>
    </row>
    <row r="9" spans="1:37" x14ac:dyDescent="0.25">
      <c r="A9" s="28">
        <v>19</v>
      </c>
      <c r="B9" s="70" t="s">
        <v>69</v>
      </c>
      <c r="C9" s="47" t="s">
        <v>39</v>
      </c>
      <c r="D9" s="48" t="s">
        <v>97</v>
      </c>
      <c r="E9" s="47" t="s">
        <v>40</v>
      </c>
      <c r="F9" s="47" t="s">
        <v>70</v>
      </c>
      <c r="G9" s="47" t="s">
        <v>71</v>
      </c>
      <c r="H9" s="49" t="s">
        <v>43</v>
      </c>
      <c r="I9" s="50">
        <v>44518</v>
      </c>
      <c r="J9" s="51">
        <v>4.4493150684931511</v>
      </c>
      <c r="K9" s="50"/>
      <c r="L9" s="52" t="s">
        <v>44</v>
      </c>
      <c r="M9" s="53">
        <v>441.02</v>
      </c>
      <c r="N9" s="37">
        <v>1.0533999999999999</v>
      </c>
      <c r="O9" s="54">
        <v>464.57046799999995</v>
      </c>
      <c r="P9" s="55">
        <v>13407.01</v>
      </c>
      <c r="Q9" s="39">
        <v>1412.29</v>
      </c>
      <c r="R9" s="55">
        <v>1412.29</v>
      </c>
      <c r="S9" s="39">
        <v>1426.4896000000001</v>
      </c>
      <c r="T9" s="55">
        <v>1474.7710999999999</v>
      </c>
      <c r="U9" s="40">
        <f t="shared" si="2"/>
        <v>19132.850700000003</v>
      </c>
      <c r="V9" s="55"/>
      <c r="W9" s="55"/>
      <c r="X9" s="55"/>
      <c r="Y9" s="56">
        <v>3000</v>
      </c>
      <c r="Z9" s="55"/>
      <c r="AA9" s="168"/>
      <c r="AB9" s="41">
        <f t="shared" si="3"/>
        <v>22132.850700000003</v>
      </c>
      <c r="AC9" s="66">
        <f t="shared" si="5"/>
        <v>11066.425350000001</v>
      </c>
      <c r="AD9" s="43">
        <v>0</v>
      </c>
      <c r="AE9" s="66">
        <v>0</v>
      </c>
      <c r="AF9" s="65">
        <f t="shared" si="4"/>
        <v>22132.850700000003</v>
      </c>
      <c r="AG9" s="65">
        <f t="shared" si="6"/>
        <v>11066.425350000001</v>
      </c>
      <c r="AH9" s="57" t="s">
        <v>45</v>
      </c>
      <c r="AI9" s="6">
        <v>0</v>
      </c>
      <c r="AJ9" s="45">
        <v>0</v>
      </c>
    </row>
    <row r="10" spans="1:37" ht="22.5" customHeight="1" x14ac:dyDescent="0.25">
      <c r="A10" s="28">
        <v>23</v>
      </c>
      <c r="B10" s="121"/>
      <c r="C10" s="103" t="s">
        <v>72</v>
      </c>
      <c r="D10" s="104" t="s">
        <v>98</v>
      </c>
      <c r="E10" s="103" t="s">
        <v>53</v>
      </c>
      <c r="F10" s="103" t="s">
        <v>73</v>
      </c>
      <c r="G10" s="103" t="s">
        <v>74</v>
      </c>
      <c r="H10" s="105" t="s">
        <v>43</v>
      </c>
      <c r="I10" s="106">
        <v>42522</v>
      </c>
      <c r="J10" s="107">
        <v>9.9178082191780828</v>
      </c>
      <c r="K10" s="106"/>
      <c r="L10" s="108" t="s">
        <v>55</v>
      </c>
      <c r="M10" s="109"/>
      <c r="N10" s="122">
        <v>1.0562</v>
      </c>
      <c r="O10" s="114">
        <v>0</v>
      </c>
      <c r="P10" s="112">
        <v>0</v>
      </c>
      <c r="Q10" s="113">
        <v>0</v>
      </c>
      <c r="R10" s="112">
        <v>0</v>
      </c>
      <c r="S10" s="113">
        <v>0</v>
      </c>
      <c r="T10" s="112">
        <v>0</v>
      </c>
      <c r="U10" s="40">
        <f t="shared" si="2"/>
        <v>0</v>
      </c>
      <c r="V10" s="112"/>
      <c r="W10" s="112"/>
      <c r="X10" s="112"/>
      <c r="Y10" s="113"/>
      <c r="Z10" s="112">
        <v>17451.3</v>
      </c>
      <c r="AA10" s="112"/>
      <c r="AB10" s="41">
        <f t="shared" si="3"/>
        <v>17451.3</v>
      </c>
      <c r="AC10" s="115">
        <f t="shared" si="5"/>
        <v>8725.65</v>
      </c>
      <c r="AD10" s="116">
        <v>0</v>
      </c>
      <c r="AE10" s="115">
        <v>0</v>
      </c>
      <c r="AF10" s="112">
        <f t="shared" si="4"/>
        <v>17451.3</v>
      </c>
      <c r="AG10" s="112">
        <f t="shared" si="6"/>
        <v>8725.65</v>
      </c>
      <c r="AH10" s="117" t="s">
        <v>75</v>
      </c>
      <c r="AI10" s="6">
        <v>0</v>
      </c>
      <c r="AJ10" s="45">
        <v>0</v>
      </c>
    </row>
    <row r="11" spans="1:37" ht="30" customHeight="1" x14ac:dyDescent="0.25">
      <c r="A11" s="121">
        <v>60</v>
      </c>
      <c r="B11" s="121">
        <v>8</v>
      </c>
      <c r="C11" s="103" t="s">
        <v>77</v>
      </c>
      <c r="D11" s="104" t="s">
        <v>99</v>
      </c>
      <c r="E11" s="103" t="s">
        <v>40</v>
      </c>
      <c r="F11" s="103" t="s">
        <v>80</v>
      </c>
      <c r="G11" s="103" t="s">
        <v>81</v>
      </c>
      <c r="H11" s="105" t="s">
        <v>43</v>
      </c>
      <c r="I11" s="106">
        <v>42969</v>
      </c>
      <c r="J11" s="107">
        <v>8.6931506849315063</v>
      </c>
      <c r="K11" s="106"/>
      <c r="L11" s="108" t="s">
        <v>55</v>
      </c>
      <c r="M11" s="109"/>
      <c r="N11" s="122">
        <v>0</v>
      </c>
      <c r="O11" s="111"/>
      <c r="P11" s="112">
        <v>0</v>
      </c>
      <c r="Q11" s="113">
        <v>0</v>
      </c>
      <c r="R11" s="112">
        <v>0</v>
      </c>
      <c r="S11" s="113">
        <v>0</v>
      </c>
      <c r="T11" s="112">
        <v>0</v>
      </c>
      <c r="U11" s="40">
        <f t="shared" si="2"/>
        <v>0</v>
      </c>
      <c r="V11" s="112">
        <v>19031.150000000001</v>
      </c>
      <c r="W11" s="112"/>
      <c r="X11" s="112">
        <v>19864.899999999998</v>
      </c>
      <c r="Y11" s="113"/>
      <c r="Z11" s="112"/>
      <c r="AA11" s="112">
        <v>6104</v>
      </c>
      <c r="AB11" s="41">
        <f t="shared" si="3"/>
        <v>45000.05</v>
      </c>
      <c r="AC11" s="115">
        <f t="shared" si="5"/>
        <v>22500.025000000001</v>
      </c>
      <c r="AD11" s="116">
        <v>0</v>
      </c>
      <c r="AE11" s="115">
        <v>0</v>
      </c>
      <c r="AF11" s="112">
        <f t="shared" si="4"/>
        <v>45000.05</v>
      </c>
      <c r="AG11" s="112">
        <f t="shared" si="6"/>
        <v>22500.025000000001</v>
      </c>
      <c r="AH11" s="117" t="s">
        <v>78</v>
      </c>
      <c r="AI11" s="6">
        <v>0</v>
      </c>
      <c r="AJ11" s="45">
        <v>0</v>
      </c>
    </row>
    <row r="12" spans="1:37" ht="30" customHeight="1" x14ac:dyDescent="0.25">
      <c r="A12" s="121">
        <v>65</v>
      </c>
      <c r="B12" s="121">
        <v>56</v>
      </c>
      <c r="C12" s="103" t="s">
        <v>79</v>
      </c>
      <c r="D12" s="104" t="s">
        <v>100</v>
      </c>
      <c r="E12" s="103" t="s">
        <v>52</v>
      </c>
      <c r="F12" s="103" t="s">
        <v>76</v>
      </c>
      <c r="G12" s="103" t="s">
        <v>82</v>
      </c>
      <c r="H12" s="105" t="s">
        <v>43</v>
      </c>
      <c r="I12" s="106">
        <v>37482</v>
      </c>
      <c r="J12" s="107">
        <v>23.726027397260275</v>
      </c>
      <c r="K12" s="106"/>
      <c r="L12" s="108" t="s">
        <v>55</v>
      </c>
      <c r="M12" s="109"/>
      <c r="N12" s="122">
        <v>0</v>
      </c>
      <c r="O12" s="111"/>
      <c r="P12" s="112">
        <v>0</v>
      </c>
      <c r="Q12" s="113">
        <v>0</v>
      </c>
      <c r="R12" s="112">
        <v>0</v>
      </c>
      <c r="S12" s="113">
        <v>0</v>
      </c>
      <c r="T12" s="112">
        <v>0</v>
      </c>
      <c r="U12" s="40">
        <f t="shared" si="2"/>
        <v>0</v>
      </c>
      <c r="V12" s="114">
        <v>108274.13</v>
      </c>
      <c r="W12" s="112"/>
      <c r="X12" s="112"/>
      <c r="Y12" s="113">
        <v>35000</v>
      </c>
      <c r="Z12" s="114"/>
      <c r="AA12" s="112"/>
      <c r="AB12" s="41">
        <f t="shared" si="3"/>
        <v>143274.13</v>
      </c>
      <c r="AC12" s="115">
        <f t="shared" si="5"/>
        <v>71637.065000000002</v>
      </c>
      <c r="AD12" s="116">
        <v>0</v>
      </c>
      <c r="AE12" s="115">
        <v>0</v>
      </c>
      <c r="AF12" s="112">
        <f t="shared" si="4"/>
        <v>143274.13</v>
      </c>
      <c r="AG12" s="112">
        <f t="shared" si="6"/>
        <v>71637.065000000002</v>
      </c>
      <c r="AH12" s="117" t="s">
        <v>78</v>
      </c>
      <c r="AI12" s="124">
        <v>0</v>
      </c>
      <c r="AJ12" s="45">
        <v>0</v>
      </c>
    </row>
    <row r="13" spans="1:37" ht="31.5" customHeight="1" x14ac:dyDescent="0.25">
      <c r="A13" s="71">
        <v>68</v>
      </c>
      <c r="B13" s="71"/>
      <c r="C13" s="68" t="s">
        <v>39</v>
      </c>
      <c r="D13" s="73" t="s">
        <v>101</v>
      </c>
      <c r="E13" s="68" t="s">
        <v>52</v>
      </c>
      <c r="F13" s="68" t="s">
        <v>41</v>
      </c>
      <c r="G13" s="68" t="s">
        <v>42</v>
      </c>
      <c r="H13" s="74" t="s">
        <v>43</v>
      </c>
      <c r="I13" s="75">
        <v>45139</v>
      </c>
      <c r="J13" s="76">
        <v>2.7479452054794522</v>
      </c>
      <c r="K13" s="75"/>
      <c r="L13" s="119" t="s">
        <v>44</v>
      </c>
      <c r="M13" s="79">
        <v>686.26</v>
      </c>
      <c r="N13" s="80">
        <v>1.0507</v>
      </c>
      <c r="O13" s="81">
        <v>721.05338199999994</v>
      </c>
      <c r="P13" s="82">
        <v>20862.3</v>
      </c>
      <c r="Q13" s="83">
        <v>2192</v>
      </c>
      <c r="R13" s="82">
        <v>2192</v>
      </c>
      <c r="S13" s="83">
        <v>1426.4896000000001</v>
      </c>
      <c r="T13" s="82">
        <v>2294.8530000000001</v>
      </c>
      <c r="U13" s="40">
        <f t="shared" si="2"/>
        <v>28967.642599999999</v>
      </c>
      <c r="V13" s="126"/>
      <c r="W13" s="82">
        <v>2035.74</v>
      </c>
      <c r="X13" s="82"/>
      <c r="Y13" s="83"/>
      <c r="Z13" s="82"/>
      <c r="AA13" s="82"/>
      <c r="AB13" s="41">
        <f t="shared" si="3"/>
        <v>31003.382600000001</v>
      </c>
      <c r="AC13" s="86">
        <f t="shared" si="5"/>
        <v>15501.6913</v>
      </c>
      <c r="AD13" s="87">
        <v>0</v>
      </c>
      <c r="AE13" s="86">
        <v>0</v>
      </c>
      <c r="AF13" s="82">
        <f t="shared" si="4"/>
        <v>31003.382600000001</v>
      </c>
      <c r="AG13" s="82">
        <f t="shared" si="6"/>
        <v>15501.6913</v>
      </c>
      <c r="AH13" s="88" t="s">
        <v>83</v>
      </c>
      <c r="AI13" s="124">
        <v>1.5916157281026244E-12</v>
      </c>
      <c r="AJ13" s="45">
        <v>0</v>
      </c>
    </row>
    <row r="14" spans="1:37" x14ac:dyDescent="0.25">
      <c r="A14" s="28">
        <v>1</v>
      </c>
      <c r="B14" s="29">
        <v>141</v>
      </c>
      <c r="C14" s="30" t="s">
        <v>39</v>
      </c>
      <c r="D14" s="31" t="s">
        <v>102</v>
      </c>
      <c r="E14" s="30" t="s">
        <v>40</v>
      </c>
      <c r="F14" s="30" t="s">
        <v>41</v>
      </c>
      <c r="G14" s="30" t="s">
        <v>42</v>
      </c>
      <c r="H14" s="32" t="s">
        <v>43</v>
      </c>
      <c r="I14" s="33">
        <v>45446</v>
      </c>
      <c r="J14" s="34">
        <v>1.9068493150684931</v>
      </c>
      <c r="K14" s="33"/>
      <c r="L14" s="35" t="s">
        <v>44</v>
      </c>
      <c r="M14" s="36">
        <v>387.34</v>
      </c>
      <c r="N14" s="37">
        <v>1.0492999999999999</v>
      </c>
      <c r="O14" s="38">
        <v>406.43586199999993</v>
      </c>
      <c r="P14" s="39">
        <v>11775.14</v>
      </c>
      <c r="Q14" s="39">
        <v>1235.57</v>
      </c>
      <c r="R14" s="39">
        <v>1235.57</v>
      </c>
      <c r="S14" s="39">
        <v>1426.4896000000001</v>
      </c>
      <c r="T14" s="39">
        <v>1295.2654</v>
      </c>
      <c r="U14" s="40">
        <f t="shared" si="2"/>
        <v>16968.035</v>
      </c>
      <c r="V14" s="39"/>
      <c r="W14" s="39"/>
      <c r="X14" s="39"/>
      <c r="Y14" s="39"/>
      <c r="Z14" s="39"/>
      <c r="AA14" s="39"/>
      <c r="AB14" s="41">
        <f t="shared" si="3"/>
        <v>16968.035</v>
      </c>
      <c r="AC14" s="66">
        <f t="shared" si="5"/>
        <v>8484.0174999999999</v>
      </c>
      <c r="AD14" s="43">
        <v>0</v>
      </c>
      <c r="AE14" s="42">
        <v>0</v>
      </c>
      <c r="AF14" s="65">
        <f t="shared" si="4"/>
        <v>16968.035</v>
      </c>
      <c r="AG14" s="65">
        <f t="shared" si="6"/>
        <v>8484.0174999999999</v>
      </c>
      <c r="AH14" s="44" t="s">
        <v>45</v>
      </c>
      <c r="AI14" s="6">
        <v>0</v>
      </c>
      <c r="AJ14" s="45">
        <v>0</v>
      </c>
    </row>
    <row r="15" spans="1:37" x14ac:dyDescent="0.25">
      <c r="A15" s="28">
        <v>71</v>
      </c>
      <c r="B15" s="28"/>
      <c r="C15" s="58" t="s">
        <v>39</v>
      </c>
      <c r="D15" s="31" t="s">
        <v>103</v>
      </c>
      <c r="E15" s="58" t="s">
        <v>84</v>
      </c>
      <c r="F15" s="58" t="s">
        <v>84</v>
      </c>
      <c r="G15" s="58" t="s">
        <v>85</v>
      </c>
      <c r="H15" s="59" t="s">
        <v>43</v>
      </c>
      <c r="I15" s="60">
        <v>44958</v>
      </c>
      <c r="J15" s="61">
        <v>3.2438356164383562</v>
      </c>
      <c r="K15" s="60"/>
      <c r="L15" s="62" t="s">
        <v>44</v>
      </c>
      <c r="M15" s="63">
        <v>1042.3</v>
      </c>
      <c r="N15" s="37">
        <v>1.0521</v>
      </c>
      <c r="O15" s="64">
        <v>1096.60383</v>
      </c>
      <c r="P15" s="65">
        <v>31685.919999999998</v>
      </c>
      <c r="Q15" s="39">
        <v>3333.68</v>
      </c>
      <c r="R15" s="65">
        <v>3333.68</v>
      </c>
      <c r="S15" s="39">
        <v>1426.4896000000001</v>
      </c>
      <c r="T15" s="65">
        <v>3485.4512</v>
      </c>
      <c r="U15" s="40">
        <f t="shared" si="2"/>
        <v>43265.220800000003</v>
      </c>
      <c r="V15" s="65"/>
      <c r="W15" s="65"/>
      <c r="X15" s="65"/>
      <c r="Y15" s="39"/>
      <c r="Z15" s="65"/>
      <c r="AA15" s="65"/>
      <c r="AB15" s="41">
        <f t="shared" si="3"/>
        <v>43265.220800000003</v>
      </c>
      <c r="AC15" s="66">
        <f t="shared" si="5"/>
        <v>21632.610400000001</v>
      </c>
      <c r="AD15" s="43">
        <v>0</v>
      </c>
      <c r="AE15" s="66">
        <v>0</v>
      </c>
      <c r="AF15" s="65">
        <f t="shared" si="4"/>
        <v>43265.220800000003</v>
      </c>
      <c r="AG15" s="65">
        <f t="shared" si="6"/>
        <v>21632.610400000001</v>
      </c>
      <c r="AH15" s="57" t="s">
        <v>45</v>
      </c>
      <c r="AI15" s="124">
        <v>0</v>
      </c>
      <c r="AJ15" s="45">
        <v>0</v>
      </c>
    </row>
    <row r="16" spans="1:37" x14ac:dyDescent="0.25">
      <c r="A16" s="46">
        <v>109</v>
      </c>
      <c r="B16" s="70" t="s">
        <v>88</v>
      </c>
      <c r="C16" s="47" t="s">
        <v>46</v>
      </c>
      <c r="D16" s="48" t="s">
        <v>104</v>
      </c>
      <c r="E16" s="47" t="s">
        <v>40</v>
      </c>
      <c r="F16" s="47" t="s">
        <v>57</v>
      </c>
      <c r="G16" s="47" t="s">
        <v>63</v>
      </c>
      <c r="H16" s="49" t="s">
        <v>49</v>
      </c>
      <c r="I16" s="50">
        <v>45712</v>
      </c>
      <c r="J16" s="51">
        <v>1.178082191780822</v>
      </c>
      <c r="K16" s="50"/>
      <c r="L16" s="52" t="s">
        <v>44</v>
      </c>
      <c r="M16" s="53">
        <v>587.94000000000005</v>
      </c>
      <c r="N16" s="98">
        <v>1.0492999999999999</v>
      </c>
      <c r="O16" s="54">
        <v>616.92544199999998</v>
      </c>
      <c r="P16" s="55">
        <v>17873.38</v>
      </c>
      <c r="Q16" s="39">
        <v>1875.45</v>
      </c>
      <c r="R16" s="55">
        <v>1875.45</v>
      </c>
      <c r="S16" s="56">
        <v>1426.4896000000001</v>
      </c>
      <c r="T16" s="55">
        <v>1966.0718000000002</v>
      </c>
      <c r="U16" s="40">
        <f t="shared" si="2"/>
        <v>25016.841400000005</v>
      </c>
      <c r="V16" s="55"/>
      <c r="W16" s="55"/>
      <c r="X16" s="55"/>
      <c r="Y16" s="56"/>
      <c r="Z16" s="55"/>
      <c r="AA16" s="55"/>
      <c r="AB16" s="41">
        <f t="shared" si="3"/>
        <v>25016.841400000005</v>
      </c>
      <c r="AC16" s="66">
        <f t="shared" si="5"/>
        <v>12508.420700000002</v>
      </c>
      <c r="AD16" s="43">
        <v>0</v>
      </c>
      <c r="AE16" s="66">
        <v>0</v>
      </c>
      <c r="AF16" s="65">
        <f t="shared" si="4"/>
        <v>25016.841400000005</v>
      </c>
      <c r="AG16" s="65">
        <f t="shared" si="6"/>
        <v>12508.420700000002</v>
      </c>
      <c r="AH16" s="123" t="s">
        <v>45</v>
      </c>
      <c r="AI16" s="6">
        <v>0</v>
      </c>
      <c r="AJ16" s="45">
        <v>0</v>
      </c>
    </row>
    <row r="17" spans="1:37" x14ac:dyDescent="0.25">
      <c r="A17" s="28">
        <v>110</v>
      </c>
      <c r="B17" s="67" t="s">
        <v>89</v>
      </c>
      <c r="C17" s="58" t="s">
        <v>39</v>
      </c>
      <c r="D17" s="31" t="s">
        <v>105</v>
      </c>
      <c r="E17" s="58" t="s">
        <v>51</v>
      </c>
      <c r="F17" s="58" t="s">
        <v>86</v>
      </c>
      <c r="G17" s="58" t="s">
        <v>87</v>
      </c>
      <c r="H17" s="59" t="s">
        <v>54</v>
      </c>
      <c r="I17" s="60">
        <v>42394</v>
      </c>
      <c r="J17" s="61">
        <v>10.268493150684931</v>
      </c>
      <c r="K17" s="60"/>
      <c r="L17" s="62" t="s">
        <v>44</v>
      </c>
      <c r="M17" s="63">
        <v>819.33</v>
      </c>
      <c r="N17" s="37">
        <v>1.0562</v>
      </c>
      <c r="O17" s="64">
        <v>865.37634600000001</v>
      </c>
      <c r="P17" s="65">
        <v>24907.63</v>
      </c>
      <c r="Q17" s="39">
        <v>2630.74</v>
      </c>
      <c r="R17" s="65">
        <v>2630.74</v>
      </c>
      <c r="S17" s="39">
        <v>1426.4896000000001</v>
      </c>
      <c r="T17" s="65">
        <v>2739.8393000000001</v>
      </c>
      <c r="U17" s="40">
        <f t="shared" si="2"/>
        <v>34335.438900000001</v>
      </c>
      <c r="V17" s="65"/>
      <c r="W17" s="65">
        <v>1000</v>
      </c>
      <c r="X17" s="65"/>
      <c r="Y17" s="39"/>
      <c r="Z17" s="65"/>
      <c r="AA17" s="65"/>
      <c r="AB17" s="41">
        <f t="shared" si="3"/>
        <v>35335.438900000001</v>
      </c>
      <c r="AC17" s="66">
        <f t="shared" si="5"/>
        <v>17667.719450000001</v>
      </c>
      <c r="AD17" s="43">
        <v>0</v>
      </c>
      <c r="AE17" s="66">
        <v>0</v>
      </c>
      <c r="AF17" s="65">
        <f t="shared" si="4"/>
        <v>35335.438900000001</v>
      </c>
      <c r="AG17" s="65">
        <f t="shared" si="6"/>
        <v>17667.719450000001</v>
      </c>
      <c r="AH17" s="123" t="s">
        <v>45</v>
      </c>
      <c r="AI17" s="6">
        <v>0</v>
      </c>
      <c r="AJ17" s="45">
        <v>0</v>
      </c>
    </row>
    <row r="18" spans="1:37" s="69" customFormat="1" x14ac:dyDescent="0.25">
      <c r="A18" s="29">
        <v>111</v>
      </c>
      <c r="B18" s="127" t="s">
        <v>90</v>
      </c>
      <c r="C18" s="91" t="s">
        <v>50</v>
      </c>
      <c r="D18" s="92" t="s">
        <v>106</v>
      </c>
      <c r="E18" s="91" t="s">
        <v>53</v>
      </c>
      <c r="F18" s="91" t="s">
        <v>73</v>
      </c>
      <c r="G18" s="91" t="s">
        <v>73</v>
      </c>
      <c r="H18" s="93" t="s">
        <v>43</v>
      </c>
      <c r="I18" s="94">
        <v>44319</v>
      </c>
      <c r="J18" s="95">
        <v>4.9945205479452053</v>
      </c>
      <c r="K18" s="128"/>
      <c r="L18" s="129" t="s">
        <v>55</v>
      </c>
      <c r="M18" s="97">
        <v>315.04000000000002</v>
      </c>
      <c r="N18" s="98">
        <v>1.0533999999999999</v>
      </c>
      <c r="O18" s="99">
        <v>331.863136</v>
      </c>
      <c r="P18" s="56">
        <v>9577.2199999999993</v>
      </c>
      <c r="Q18" s="39">
        <v>0</v>
      </c>
      <c r="R18" s="56">
        <v>1008.85</v>
      </c>
      <c r="S18" s="56">
        <v>1426.4896000000001</v>
      </c>
      <c r="T18" s="56">
        <v>0</v>
      </c>
      <c r="U18" s="40">
        <f t="shared" si="2"/>
        <v>12012.559600000001</v>
      </c>
      <c r="V18" s="56"/>
      <c r="W18" s="56"/>
      <c r="X18" s="56"/>
      <c r="Y18" s="56"/>
      <c r="Z18" s="56"/>
      <c r="AA18" s="56"/>
      <c r="AB18" s="41">
        <f t="shared" si="3"/>
        <v>12012.559600000001</v>
      </c>
      <c r="AC18" s="66">
        <f t="shared" si="5"/>
        <v>6006.2798000000003</v>
      </c>
      <c r="AD18" s="120">
        <v>0</v>
      </c>
      <c r="AE18" s="42">
        <v>0</v>
      </c>
      <c r="AF18" s="65">
        <f t="shared" si="4"/>
        <v>12012.559600000001</v>
      </c>
      <c r="AG18" s="65">
        <f t="shared" si="6"/>
        <v>6006.2798000000003</v>
      </c>
      <c r="AH18" s="44" t="s">
        <v>45</v>
      </c>
      <c r="AI18" s="100">
        <v>0</v>
      </c>
      <c r="AJ18" s="101">
        <v>0</v>
      </c>
    </row>
    <row r="19" spans="1:37" s="166" customFormat="1" ht="39.75" customHeight="1" x14ac:dyDescent="0.25">
      <c r="A19" s="152">
        <v>112</v>
      </c>
      <c r="B19" s="153" t="s">
        <v>109</v>
      </c>
      <c r="C19" s="154" t="s">
        <v>56</v>
      </c>
      <c r="D19" s="155" t="s">
        <v>107</v>
      </c>
      <c r="E19" s="154" t="s">
        <v>40</v>
      </c>
      <c r="F19" s="154" t="s">
        <v>76</v>
      </c>
      <c r="G19" s="156" t="s">
        <v>110</v>
      </c>
      <c r="H19" s="157" t="s">
        <v>43</v>
      </c>
      <c r="I19" s="151">
        <v>40782</v>
      </c>
      <c r="J19" s="158">
        <v>14.684931506849315</v>
      </c>
      <c r="K19" s="151"/>
      <c r="L19" s="159" t="s">
        <v>55</v>
      </c>
      <c r="M19" s="36">
        <v>315.04000000000002</v>
      </c>
      <c r="N19" s="80">
        <v>1.0575000000000001</v>
      </c>
      <c r="O19" s="160">
        <v>330.58</v>
      </c>
      <c r="P19" s="83">
        <v>9577.2199999999993</v>
      </c>
      <c r="Q19" s="83">
        <v>1004.96</v>
      </c>
      <c r="R19" s="83">
        <v>1004.96</v>
      </c>
      <c r="S19" s="83">
        <v>1426.4896000000001</v>
      </c>
      <c r="T19" s="83">
        <v>0</v>
      </c>
      <c r="U19" s="40">
        <f t="shared" si="2"/>
        <v>13013.6296</v>
      </c>
      <c r="V19" s="83">
        <v>49115.19</v>
      </c>
      <c r="W19" s="83"/>
      <c r="X19" s="83">
        <v>49115.19</v>
      </c>
      <c r="Y19" s="83">
        <v>38000</v>
      </c>
      <c r="Z19" s="83">
        <v>150000</v>
      </c>
      <c r="AA19" s="83"/>
      <c r="AB19" s="41">
        <f t="shared" si="3"/>
        <v>299244.00959999999</v>
      </c>
      <c r="AC19" s="86">
        <f t="shared" si="5"/>
        <v>149622.0048</v>
      </c>
      <c r="AD19" s="162">
        <v>0</v>
      </c>
      <c r="AE19" s="161">
        <v>0</v>
      </c>
      <c r="AF19" s="82">
        <f t="shared" si="4"/>
        <v>299244.00959999999</v>
      </c>
      <c r="AG19" s="82">
        <f>AF19/2</f>
        <v>149622.0048</v>
      </c>
      <c r="AH19" s="163" t="s">
        <v>111</v>
      </c>
      <c r="AI19" s="164">
        <v>0</v>
      </c>
      <c r="AJ19" s="165">
        <v>0</v>
      </c>
    </row>
    <row r="20" spans="1:37" x14ac:dyDescent="0.25">
      <c r="A20" s="105">
        <v>138</v>
      </c>
      <c r="B20" s="130"/>
      <c r="C20" s="131" t="s">
        <v>77</v>
      </c>
      <c r="D20" s="132" t="s">
        <v>108</v>
      </c>
      <c r="E20" s="103" t="s">
        <v>51</v>
      </c>
      <c r="F20" s="103" t="s">
        <v>86</v>
      </c>
      <c r="G20" s="103" t="s">
        <v>87</v>
      </c>
      <c r="H20" s="121" t="s">
        <v>54</v>
      </c>
      <c r="I20" s="133">
        <v>46077</v>
      </c>
      <c r="J20" s="107">
        <v>0.17808219178082191</v>
      </c>
      <c r="K20" s="106"/>
      <c r="L20" s="131" t="s">
        <v>55</v>
      </c>
      <c r="M20" s="134"/>
      <c r="N20" s="135"/>
      <c r="O20" s="136"/>
      <c r="P20" s="112">
        <v>0</v>
      </c>
      <c r="Q20" s="113">
        <v>0</v>
      </c>
      <c r="R20" s="112">
        <v>0</v>
      </c>
      <c r="S20" s="113">
        <v>0</v>
      </c>
      <c r="T20" s="112">
        <v>0</v>
      </c>
      <c r="U20" s="40">
        <f t="shared" si="2"/>
        <v>0</v>
      </c>
      <c r="V20" s="125">
        <v>16200</v>
      </c>
      <c r="W20" s="125"/>
      <c r="X20" s="125"/>
      <c r="Y20" s="137"/>
      <c r="Z20" s="125"/>
      <c r="AA20" s="125"/>
      <c r="AB20" s="41">
        <f t="shared" si="3"/>
        <v>16200</v>
      </c>
      <c r="AC20" s="115">
        <f t="shared" si="5"/>
        <v>8100</v>
      </c>
      <c r="AD20" s="116">
        <v>0</v>
      </c>
      <c r="AE20" s="115">
        <v>0</v>
      </c>
      <c r="AF20" s="112">
        <f t="shared" si="4"/>
        <v>16200</v>
      </c>
      <c r="AG20" s="112">
        <f t="shared" si="6"/>
        <v>8100</v>
      </c>
      <c r="AH20" s="117" t="s">
        <v>91</v>
      </c>
      <c r="AI20" s="6">
        <v>0</v>
      </c>
      <c r="AJ20" s="45">
        <v>0</v>
      </c>
    </row>
    <row r="21" spans="1:37" x14ac:dyDescent="0.25">
      <c r="U21" s="139">
        <f>SUM(U6:U20)</f>
        <v>237940.96780000004</v>
      </c>
      <c r="V21" s="12">
        <f t="shared" ref="U21:AA21" si="7">SUM(V6:V20)</f>
        <v>220742.31</v>
      </c>
      <c r="W21" s="12">
        <f t="shared" si="7"/>
        <v>5035.74</v>
      </c>
      <c r="X21" s="12">
        <f>SUM(X6:X20)</f>
        <v>68980.09</v>
      </c>
      <c r="Y21" s="12">
        <f t="shared" si="7"/>
        <v>76000</v>
      </c>
      <c r="Z21" s="12">
        <f>SUM(Z6:Z20)</f>
        <v>167451.29999999999</v>
      </c>
      <c r="AA21" s="12">
        <f t="shared" si="7"/>
        <v>6104</v>
      </c>
      <c r="AB21" s="41">
        <f t="shared" si="3"/>
        <v>782254.40779999993</v>
      </c>
      <c r="AC21" s="66">
        <f t="shared" si="5"/>
        <v>391127.20389999996</v>
      </c>
      <c r="AD21" s="6"/>
      <c r="AE21" s="45">
        <f>SUM(AE6:AE20)</f>
        <v>0</v>
      </c>
      <c r="AF21" s="139">
        <f>SUM(AF6:AF20)</f>
        <v>782254.40779999993</v>
      </c>
      <c r="AG21" s="167">
        <f t="shared" si="6"/>
        <v>391127.20389999996</v>
      </c>
      <c r="AH21" s="6"/>
      <c r="AI21" s="6">
        <f>SUM(AI6:AI18)</f>
        <v>1.5916157281026244E-12</v>
      </c>
      <c r="AJ21" s="141">
        <f>SUM(AJ6:AJ20)</f>
        <v>501.6933199999994</v>
      </c>
    </row>
    <row r="22" spans="1:37" x14ac:dyDescent="0.25">
      <c r="A22"/>
      <c r="B22"/>
      <c r="C22"/>
      <c r="M22" s="7"/>
      <c r="O22"/>
      <c r="W22" s="143"/>
      <c r="AB22" s="140"/>
      <c r="AG22" s="65">
        <f t="shared" si="6"/>
        <v>0</v>
      </c>
      <c r="AH22" s="7" t="s">
        <v>92</v>
      </c>
      <c r="AI22" s="144"/>
      <c r="AJ22" s="12">
        <f>AC21-AG21</f>
        <v>0</v>
      </c>
      <c r="AK22" t="s">
        <v>93</v>
      </c>
    </row>
    <row r="23" spans="1:37" x14ac:dyDescent="0.25">
      <c r="A23"/>
      <c r="B23"/>
      <c r="C23"/>
      <c r="M23" s="7"/>
      <c r="O23"/>
      <c r="V23" s="145"/>
      <c r="AB23" s="140"/>
      <c r="AC23" s="143"/>
      <c r="AD23" s="143"/>
      <c r="AE23" s="143"/>
      <c r="AF23" s="143"/>
      <c r="AG23" s="65">
        <f t="shared" si="6"/>
        <v>0</v>
      </c>
      <c r="AI23" s="6"/>
      <c r="AJ23" s="6">
        <f>AG22-AJ22</f>
        <v>0</v>
      </c>
    </row>
    <row r="24" spans="1:37" x14ac:dyDescent="0.25">
      <c r="AJ24" s="45"/>
    </row>
    <row r="26" spans="1:37" x14ac:dyDescent="0.25">
      <c r="AC26" s="143"/>
      <c r="AD26" s="143"/>
      <c r="AE26" s="143"/>
      <c r="AF26" s="143"/>
      <c r="AG26" s="143"/>
    </row>
    <row r="27" spans="1:37" x14ac:dyDescent="0.25">
      <c r="P27" s="6"/>
      <c r="Q27" s="6"/>
      <c r="R27" s="6"/>
      <c r="S27" s="6"/>
      <c r="T27" s="6"/>
      <c r="U27" s="147"/>
    </row>
    <row r="28" spans="1:37" x14ac:dyDescent="0.25">
      <c r="P28" s="148"/>
      <c r="Q28" s="148"/>
      <c r="R28" s="148"/>
      <c r="S28" s="148"/>
      <c r="T28" s="148"/>
      <c r="U28" s="149"/>
    </row>
    <row r="29" spans="1:37" x14ac:dyDescent="0.25">
      <c r="Q29" s="6"/>
      <c r="U29" s="150"/>
    </row>
    <row r="31" spans="1:37" x14ac:dyDescent="0.25">
      <c r="Q31" s="6"/>
    </row>
    <row r="32" spans="1:37" x14ac:dyDescent="0.25">
      <c r="G32" s="145"/>
    </row>
    <row r="35" spans="7:7" x14ac:dyDescent="0.25">
      <c r="G35" s="143"/>
    </row>
  </sheetData>
  <phoneticPr fontId="17"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 Marina Lugo Felix</dc:creator>
  <cp:lastModifiedBy>Ana Marina Lugo Felix</cp:lastModifiedBy>
  <dcterms:created xsi:type="dcterms:W3CDTF">2026-05-07T16:11:03Z</dcterms:created>
  <dcterms:modified xsi:type="dcterms:W3CDTF">2026-05-14T20:24:01Z</dcterms:modified>
</cp:coreProperties>
</file>