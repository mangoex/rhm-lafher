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Hoja1" sheetId="1" state="visible" r:id="rId1"/>
  </sheets>
  <externalReferences>
    <externalReference xmlns:r="http://schemas.openxmlformats.org/officeDocument/2006/relationships" r:id="rId2"/>
  </externalReferences>
  <definedNames/>
  <calcPr calcId="191029" fullCalcOnLoad="1"/>
</workbook>
</file>

<file path=xl/styles.xml><?xml version="1.0" encoding="utf-8"?>
<styleSheet xmlns="http://schemas.openxmlformats.org/spreadsheetml/2006/main">
  <numFmts count="4">
    <numFmt numFmtId="164" formatCode="dd/mmm/yyyy;@"/>
    <numFmt numFmtId="165" formatCode="_-&quot;$&quot;* #,##0.00_-;\-&quot;$&quot;* #,##0.00_-;_-&quot;$&quot;* &quot;-&quot;??_-;_-@_-"/>
    <numFmt numFmtId="166" formatCode="_-* #,##0.00_-;\-* #,##0.00_-;_-* &quot;-&quot;??_-;_-@_-"/>
    <numFmt numFmtId="167" formatCode="&quot;$&quot;#,##0.00;[Red]\-&quot;$&quot;#,##0.00"/>
  </numFmts>
  <fonts count="18">
    <font>
      <name val="Aptos Narrow"/>
      <family val="2"/>
      <color theme="1"/>
      <sz val="11"/>
      <scheme val="minor"/>
    </font>
    <font>
      <name val="Aptos Narrow"/>
      <family val="2"/>
      <color theme="1"/>
      <sz val="11"/>
      <scheme val="minor"/>
    </font>
    <font>
      <name val="Aptos Narrow"/>
      <family val="2"/>
      <b val="1"/>
      <color theme="0"/>
      <sz val="11"/>
      <scheme val="minor"/>
    </font>
    <font>
      <name val="Aptos Narrow"/>
      <family val="2"/>
      <color rgb="FFFF0000"/>
      <sz val="11"/>
      <scheme val="minor"/>
    </font>
    <font>
      <name val="Aptos Narrow"/>
      <family val="2"/>
      <b val="1"/>
      <color theme="1"/>
      <sz val="11"/>
      <scheme val="minor"/>
    </font>
    <font>
      <name val="Aptos Narrow"/>
      <family val="2"/>
      <color theme="1"/>
      <sz val="9"/>
      <scheme val="minor"/>
    </font>
    <font>
      <name val="Aptos Narrow"/>
      <family val="2"/>
      <sz val="11"/>
      <scheme val="minor"/>
    </font>
    <font>
      <name val="Aptos Narrow"/>
      <family val="2"/>
      <b val="1"/>
      <color theme="1"/>
      <sz val="12"/>
      <u val="single"/>
      <scheme val="minor"/>
    </font>
    <font>
      <name val="Aptos Narrow"/>
      <family val="2"/>
      <b val="1"/>
      <sz val="10"/>
      <scheme val="minor"/>
    </font>
    <font>
      <name val="Aptos Narrow"/>
      <family val="2"/>
      <sz val="10"/>
      <scheme val="minor"/>
    </font>
    <font>
      <name val="Aptos Narrow"/>
      <family val="2"/>
      <color theme="1"/>
      <sz val="10"/>
      <scheme val="minor"/>
    </font>
    <font>
      <name val="Aptos Narrow"/>
      <family val="2"/>
      <sz val="9"/>
      <scheme val="minor"/>
    </font>
    <font>
      <name val="Aptos Narrow"/>
      <family val="2"/>
      <b val="1"/>
      <color theme="1"/>
      <sz val="10"/>
      <scheme val="minor"/>
    </font>
    <font>
      <name val="Aptos Narrow"/>
      <family val="2"/>
      <b val="1"/>
      <sz val="9"/>
      <scheme val="minor"/>
    </font>
    <font>
      <name val="Aptos Narrow"/>
      <family val="2"/>
      <b val="1"/>
      <color theme="1"/>
      <sz val="9"/>
      <scheme val="minor"/>
    </font>
    <font>
      <name val="Tahoma"/>
      <family val="2"/>
      <b val="1"/>
      <color indexed="81"/>
      <sz val="9"/>
    </font>
    <font>
      <name val="Tahoma"/>
      <family val="2"/>
      <color indexed="81"/>
      <sz val="9"/>
    </font>
    <font>
      <name val="Aptos Narrow"/>
      <family val="2"/>
      <sz val="8"/>
      <scheme val="minor"/>
    </font>
  </fonts>
  <fills count="10">
    <fill>
      <patternFill/>
    </fill>
    <fill>
      <patternFill patternType="gray125"/>
    </fill>
    <fill>
      <patternFill patternType="solid">
        <fgColor theme="0"/>
        <bgColor indexed="64"/>
      </patternFill>
    </fill>
    <fill>
      <patternFill patternType="solid">
        <fgColor rgb="FF00B0F0"/>
        <bgColor indexed="64"/>
      </patternFill>
    </fill>
    <fill>
      <patternFill patternType="solid">
        <fgColor theme="4" tint="0.3999755851924192"/>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9"/>
        <bgColor indexed="64"/>
      </patternFill>
    </fill>
    <fill>
      <patternFill patternType="solid">
        <fgColor theme="0" tint="-0.3499862666707358"/>
        <bgColor indexed="64"/>
      </patternFill>
    </fill>
  </fills>
  <borders count="6">
    <border>
      <left/>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s>
  <cellStyleXfs count="3">
    <xf numFmtId="0" fontId="1" fillId="0" borderId="0"/>
    <xf numFmtId="43" fontId="1" fillId="0" borderId="0"/>
    <xf numFmtId="44" fontId="1" fillId="0" borderId="0"/>
  </cellStyleXfs>
  <cellXfs count="220">
    <xf numFmtId="0" fontId="0" fillId="0" borderId="0" pivotButton="0" quotePrefix="0" xfId="0"/>
    <xf numFmtId="0" fontId="0" fillId="0" borderId="0" applyAlignment="1" pivotButton="0" quotePrefix="0" xfId="0">
      <alignment horizontal="center" vertical="center"/>
    </xf>
    <xf numFmtId="0" fontId="5" fillId="0" borderId="0" applyAlignment="1" pivotButton="0" quotePrefix="0" xfId="0">
      <alignment horizontal="center" vertical="center"/>
    </xf>
    <xf numFmtId="0" fontId="0" fillId="2" borderId="0" applyAlignment="1" pivotButton="0" quotePrefix="0" xfId="0">
      <alignment vertical="center"/>
    </xf>
    <xf numFmtId="164" fontId="0" fillId="0" borderId="0" applyAlignment="1" pivotButton="0" quotePrefix="0" xfId="0">
      <alignment horizontal="center" vertical="center"/>
    </xf>
    <xf numFmtId="4" fontId="4" fillId="0" borderId="0" pivotButton="0" quotePrefix="0" xfId="0"/>
    <xf numFmtId="165" fontId="0" fillId="0" borderId="0" pivotButton="0" quotePrefix="0" xfId="0"/>
    <xf numFmtId="0" fontId="4" fillId="0" borderId="0" pivotButton="0" quotePrefix="0" xfId="0"/>
    <xf numFmtId="0" fontId="6" fillId="0" borderId="0" pivotButton="0" quotePrefix="0" xfId="0"/>
    <xf numFmtId="0" fontId="7" fillId="0" borderId="0" applyAlignment="1" pivotButton="0" quotePrefix="0" xfId="0">
      <alignment horizontal="left" vertical="center"/>
    </xf>
    <xf numFmtId="0" fontId="0" fillId="0" borderId="0" applyAlignment="1" pivotButton="0" quotePrefix="0" xfId="0">
      <alignment vertical="center"/>
    </xf>
    <xf numFmtId="4" fontId="0" fillId="0" borderId="0" pivotButton="0" quotePrefix="0" xfId="0"/>
    <xf numFmtId="165" fontId="4" fillId="0" borderId="0" pivotButton="0" quotePrefix="0" xfId="0"/>
    <xf numFmtId="0" fontId="2" fillId="2" borderId="0" pivotButton="0" quotePrefix="0" xfId="0"/>
    <xf numFmtId="15" fontId="0" fillId="3" borderId="0" applyAlignment="1" pivotButton="0" quotePrefix="0" xfId="0">
      <alignment horizontal="center"/>
    </xf>
    <xf numFmtId="166" fontId="0" fillId="0" borderId="0" applyAlignment="1" pivotButton="0" quotePrefix="0" xfId="1">
      <alignment vertical="center"/>
    </xf>
    <xf numFmtId="0" fontId="8" fillId="4" borderId="1" applyAlignment="1" pivotButton="0" quotePrefix="0" xfId="0">
      <alignment horizontal="center" vertical="top" wrapText="1"/>
    </xf>
    <xf numFmtId="0" fontId="8" fillId="4" borderId="2" applyAlignment="1" pivotButton="0" quotePrefix="0" xfId="0">
      <alignment horizontal="center" vertical="top" wrapText="1"/>
    </xf>
    <xf numFmtId="0" fontId="8" fillId="4" borderId="3" applyAlignment="1" pivotButton="0" quotePrefix="0" xfId="0">
      <alignment horizontal="center" vertical="top" wrapText="1"/>
    </xf>
    <xf numFmtId="0" fontId="9" fillId="4" borderId="3" applyAlignment="1" pivotButton="0" quotePrefix="0" xfId="0">
      <alignment horizontal="center" vertical="top" wrapText="1"/>
    </xf>
    <xf numFmtId="164" fontId="8" fillId="4" borderId="3" applyAlignment="1" pivotButton="0" quotePrefix="0" xfId="0">
      <alignment horizontal="center" vertical="top" wrapText="1"/>
    </xf>
    <xf numFmtId="4" fontId="8" fillId="4" borderId="3" applyAlignment="1" pivotButton="0" quotePrefix="0" xfId="0">
      <alignment horizontal="center" vertical="top" wrapText="1"/>
    </xf>
    <xf numFmtId="166" fontId="8" fillId="4" borderId="3" applyAlignment="1" pivotButton="0" quotePrefix="0" xfId="1">
      <alignment horizontal="center" vertical="top" wrapText="1"/>
    </xf>
    <xf numFmtId="166" fontId="8" fillId="5" borderId="3" applyAlignment="1" pivotButton="0" quotePrefix="0" xfId="1">
      <alignment horizontal="center" vertical="top" wrapText="1"/>
    </xf>
    <xf numFmtId="166" fontId="8" fillId="6" borderId="3" applyAlignment="1" pivotButton="0" quotePrefix="0" xfId="1">
      <alignment horizontal="center" vertical="top" wrapText="1"/>
    </xf>
    <xf numFmtId="166" fontId="8" fillId="7" borderId="3" applyAlignment="1" pivotButton="0" quotePrefix="0" xfId="1">
      <alignment horizontal="center" vertical="top" wrapText="1"/>
    </xf>
    <xf numFmtId="166" fontId="8" fillId="8" borderId="3" applyAlignment="1" pivotButton="0" quotePrefix="0" xfId="1">
      <alignment horizontal="center" vertical="top" wrapText="1"/>
    </xf>
    <xf numFmtId="0" fontId="0" fillId="0" borderId="0" applyAlignment="1" pivotButton="0" quotePrefix="0" xfId="0">
      <alignment wrapText="1"/>
    </xf>
    <xf numFmtId="0" fontId="10" fillId="2" borderId="4" applyAlignment="1" pivotButton="0" quotePrefix="0" xfId="0">
      <alignment horizontal="center" vertical="center"/>
    </xf>
    <xf numFmtId="0" fontId="9" fillId="2" borderId="4" applyAlignment="1" pivotButton="0" quotePrefix="0" xfId="0">
      <alignment horizontal="center" vertical="center"/>
    </xf>
    <xf numFmtId="0" fontId="11" fillId="2" borderId="5" applyAlignment="1" pivotButton="0" quotePrefix="0" xfId="0">
      <alignment horizontal="center" vertical="center"/>
    </xf>
    <xf numFmtId="0" fontId="10" fillId="2" borderId="5" applyAlignment="1" pivotButton="0" quotePrefix="0" xfId="0">
      <alignment vertical="center"/>
    </xf>
    <xf numFmtId="0" fontId="9" fillId="2" borderId="5" applyAlignment="1" pivotButton="0" quotePrefix="0" xfId="0">
      <alignment horizontal="center" vertical="center"/>
    </xf>
    <xf numFmtId="164" fontId="9" fillId="2" borderId="5" applyAlignment="1" pivotButton="0" quotePrefix="0" xfId="0">
      <alignment horizontal="center" vertical="center"/>
    </xf>
    <xf numFmtId="2" fontId="9" fillId="2" borderId="5" applyAlignment="1" pivotButton="0" quotePrefix="0" xfId="0">
      <alignment horizontal="center" vertical="center"/>
    </xf>
    <xf numFmtId="164" fontId="9" fillId="2" borderId="4" applyAlignment="1" pivotButton="0" quotePrefix="0" xfId="0">
      <alignment horizontal="center" vertical="center"/>
    </xf>
    <xf numFmtId="4" fontId="8" fillId="2" borderId="4" applyAlignment="1" pivotButton="0" quotePrefix="0" xfId="2">
      <alignment vertical="center"/>
    </xf>
    <xf numFmtId="0" fontId="9" fillId="2" borderId="4" applyAlignment="1" pivotButton="0" quotePrefix="0" xfId="2">
      <alignment horizontal="center" vertical="center"/>
    </xf>
    <xf numFmtId="4" fontId="9" fillId="2" borderId="4" applyAlignment="1" pivotButton="0" quotePrefix="0" xfId="2">
      <alignment vertical="center"/>
    </xf>
    <xf numFmtId="165" fontId="9" fillId="2" borderId="4" applyAlignment="1" pivotButton="0" quotePrefix="0" xfId="2">
      <alignment vertical="center"/>
    </xf>
    <xf numFmtId="165" fontId="12" fillId="5" borderId="4" applyAlignment="1" pivotButton="0" quotePrefix="0" xfId="2">
      <alignment vertical="center"/>
    </xf>
    <xf numFmtId="165" fontId="8" fillId="7" borderId="4" applyAlignment="1" pivotButton="0" quotePrefix="0" xfId="2">
      <alignment vertical="center"/>
    </xf>
    <xf numFmtId="167" fontId="9" fillId="2" borderId="4" applyAlignment="1" pivotButton="0" quotePrefix="0" xfId="2">
      <alignment vertical="center"/>
    </xf>
    <xf numFmtId="9" fontId="10" fillId="2" borderId="4" applyAlignment="1" pivotButton="0" quotePrefix="0" xfId="2">
      <alignment vertical="center"/>
    </xf>
    <xf numFmtId="4" fontId="13" fillId="2" borderId="5" applyAlignment="1" pivotButton="0" quotePrefix="0" xfId="0">
      <alignment horizontal="left" vertical="center" wrapText="1"/>
    </xf>
    <xf numFmtId="167" fontId="0" fillId="0" borderId="0" pivotButton="0" quotePrefix="0" xfId="0"/>
    <xf numFmtId="0" fontId="10" fillId="0" borderId="4" applyAlignment="1" pivotButton="0" quotePrefix="0" xfId="0">
      <alignment horizontal="center" vertical="center"/>
    </xf>
    <xf numFmtId="0" fontId="5" fillId="0" borderId="5" applyAlignment="1" pivotButton="0" quotePrefix="0" xfId="0">
      <alignment horizontal="center" vertical="center"/>
    </xf>
    <xf numFmtId="0" fontId="10" fillId="0" borderId="5" applyAlignment="1" pivotButton="0" quotePrefix="0" xfId="0">
      <alignment vertical="center"/>
    </xf>
    <xf numFmtId="0" fontId="10" fillId="0" borderId="5" applyAlignment="1" pivotButton="0" quotePrefix="0" xfId="0">
      <alignment horizontal="center" vertical="center"/>
    </xf>
    <xf numFmtId="164" fontId="10" fillId="0" borderId="5" applyAlignment="1" pivotButton="0" quotePrefix="0" xfId="0">
      <alignment horizontal="center" vertical="center"/>
    </xf>
    <xf numFmtId="2" fontId="10" fillId="0" borderId="5" applyAlignment="1" pivotButton="0" quotePrefix="0" xfId="0">
      <alignment horizontal="center" vertical="center"/>
    </xf>
    <xf numFmtId="164" fontId="10" fillId="0" borderId="4" applyAlignment="1" pivotButton="0" quotePrefix="0" xfId="0">
      <alignment horizontal="center" vertical="center"/>
    </xf>
    <xf numFmtId="4" fontId="12" fillId="0" borderId="4" applyAlignment="1" pivotButton="0" quotePrefix="0" xfId="2">
      <alignment vertical="center"/>
    </xf>
    <xf numFmtId="4" fontId="10" fillId="0" borderId="4" applyAlignment="1" pivotButton="0" quotePrefix="0" xfId="2">
      <alignment vertical="center"/>
    </xf>
    <xf numFmtId="165" fontId="10" fillId="0" borderId="4" applyAlignment="1" pivotButton="0" quotePrefix="0" xfId="2">
      <alignment vertical="center"/>
    </xf>
    <xf numFmtId="165" fontId="9" fillId="0" borderId="4" applyAlignment="1" pivotButton="0" quotePrefix="0" xfId="2">
      <alignment vertical="center"/>
    </xf>
    <xf numFmtId="4" fontId="14" fillId="2" borderId="5" applyAlignment="1" pivotButton="0" quotePrefix="0" xfId="0">
      <alignment horizontal="left" vertical="center" wrapText="1"/>
    </xf>
    <xf numFmtId="0" fontId="5" fillId="2" borderId="5" applyAlignment="1" pivotButton="0" quotePrefix="0" xfId="0">
      <alignment horizontal="center" vertical="center"/>
    </xf>
    <xf numFmtId="0" fontId="10" fillId="2" borderId="5" applyAlignment="1" pivotButton="0" quotePrefix="0" xfId="0">
      <alignment horizontal="center" vertical="center"/>
    </xf>
    <xf numFmtId="164" fontId="10" fillId="2" borderId="5" applyAlignment="1" pivotButton="0" quotePrefix="0" xfId="0">
      <alignment horizontal="center" vertical="center"/>
    </xf>
    <xf numFmtId="2" fontId="10" fillId="2" borderId="5" applyAlignment="1" pivotButton="0" quotePrefix="0" xfId="0">
      <alignment horizontal="center" vertical="center"/>
    </xf>
    <xf numFmtId="164" fontId="10" fillId="2" borderId="4" applyAlignment="1" pivotButton="0" quotePrefix="0" xfId="0">
      <alignment horizontal="center" vertical="center"/>
    </xf>
    <xf numFmtId="4" fontId="12" fillId="2" borderId="4" applyAlignment="1" pivotButton="0" quotePrefix="0" xfId="2">
      <alignment vertical="center"/>
    </xf>
    <xf numFmtId="4" fontId="10" fillId="2" borderId="4" applyAlignment="1" pivotButton="0" quotePrefix="0" xfId="2">
      <alignment vertical="center"/>
    </xf>
    <xf numFmtId="165" fontId="10" fillId="2" borderId="4" applyAlignment="1" pivotButton="0" quotePrefix="0" xfId="2">
      <alignment vertical="center"/>
    </xf>
    <xf numFmtId="167" fontId="10" fillId="2" borderId="4" applyAlignment="1" pivotButton="0" quotePrefix="0" xfId="2">
      <alignment vertical="center"/>
    </xf>
    <xf numFmtId="49" fontId="10" fillId="2" borderId="4" applyAlignment="1" pivotButton="0" quotePrefix="0" xfId="0">
      <alignment horizontal="center" vertical="center" wrapText="1"/>
    </xf>
    <xf numFmtId="0" fontId="5" fillId="3" borderId="5" applyAlignment="1" pivotButton="0" quotePrefix="0" xfId="0">
      <alignment horizontal="center" vertical="center"/>
    </xf>
    <xf numFmtId="0" fontId="3" fillId="0" borderId="0" pivotButton="0" quotePrefix="0" xfId="0"/>
    <xf numFmtId="49" fontId="10" fillId="0" borderId="4" applyAlignment="1" pivotButton="0" quotePrefix="0" xfId="0">
      <alignment horizontal="center" vertical="center"/>
    </xf>
    <xf numFmtId="0" fontId="10" fillId="3" borderId="4" applyAlignment="1" pivotButton="0" quotePrefix="0" xfId="0">
      <alignment horizontal="center" vertical="center"/>
    </xf>
    <xf numFmtId="49" fontId="10" fillId="3" borderId="4" applyAlignment="1" pivotButton="0" quotePrefix="0" xfId="0">
      <alignment horizontal="center" vertical="center"/>
    </xf>
    <xf numFmtId="0" fontId="10" fillId="3" borderId="5" applyAlignment="1" pivotButton="0" quotePrefix="0" xfId="0">
      <alignment vertical="center"/>
    </xf>
    <xf numFmtId="0" fontId="10" fillId="3" borderId="5" applyAlignment="1" pivotButton="0" quotePrefix="0" xfId="0">
      <alignment horizontal="center" vertical="center"/>
    </xf>
    <xf numFmtId="164" fontId="10" fillId="3" borderId="5" applyAlignment="1" pivotButton="0" quotePrefix="0" xfId="0">
      <alignment horizontal="center" vertical="center"/>
    </xf>
    <xf numFmtId="2" fontId="10" fillId="3" borderId="5" applyAlignment="1" pivotButton="0" quotePrefix="0" xfId="0">
      <alignment horizontal="center" vertical="center"/>
    </xf>
    <xf numFmtId="166" fontId="10" fillId="3" borderId="5" applyAlignment="1" pivotButton="0" quotePrefix="0" xfId="1">
      <alignment horizontal="center" vertical="center"/>
    </xf>
    <xf numFmtId="166" fontId="10" fillId="3" borderId="4" applyAlignment="1" pivotButton="0" quotePrefix="0" xfId="1">
      <alignment horizontal="center" vertical="center"/>
    </xf>
    <xf numFmtId="4" fontId="12" fillId="3" borderId="4" applyAlignment="1" pivotButton="0" quotePrefix="0" xfId="2">
      <alignment vertical="center"/>
    </xf>
    <xf numFmtId="0" fontId="9" fillId="3" borderId="4" applyAlignment="1" pivotButton="0" quotePrefix="0" xfId="2">
      <alignment horizontal="center" vertical="center"/>
    </xf>
    <xf numFmtId="4" fontId="10" fillId="3" borderId="4" applyAlignment="1" pivotButton="0" quotePrefix="0" xfId="2">
      <alignment vertical="center"/>
    </xf>
    <xf numFmtId="165" fontId="10" fillId="3" borderId="4" applyAlignment="1" pivotButton="0" quotePrefix="0" xfId="2">
      <alignment vertical="center"/>
    </xf>
    <xf numFmtId="165" fontId="9" fillId="3" borderId="4" applyAlignment="1" pivotButton="0" quotePrefix="0" xfId="2">
      <alignment vertical="center"/>
    </xf>
    <xf numFmtId="166" fontId="10" fillId="3" borderId="4" applyAlignment="1" pivotButton="0" quotePrefix="0" xfId="1">
      <alignment vertical="center"/>
    </xf>
    <xf numFmtId="165" fontId="8" fillId="3" borderId="4" applyAlignment="1" pivotButton="0" quotePrefix="0" xfId="2">
      <alignment vertical="center"/>
    </xf>
    <xf numFmtId="167" fontId="10" fillId="3" borderId="4" applyAlignment="1" pivotButton="0" quotePrefix="0" xfId="2">
      <alignment vertical="center"/>
    </xf>
    <xf numFmtId="9" fontId="10" fillId="3" borderId="4" applyAlignment="1" pivotButton="0" quotePrefix="0" xfId="2">
      <alignment vertical="center"/>
    </xf>
    <xf numFmtId="4" fontId="14" fillId="3" borderId="5" applyAlignment="1" pivotButton="0" quotePrefix="0" xfId="0">
      <alignment horizontal="left" vertical="center" wrapText="1"/>
    </xf>
    <xf numFmtId="167" fontId="4" fillId="5" borderId="0" pivotButton="0" quotePrefix="0" xfId="0"/>
    <xf numFmtId="0" fontId="9" fillId="0" borderId="4" applyAlignment="1" pivotButton="0" quotePrefix="0" xfId="0">
      <alignment horizontal="center" vertical="center"/>
    </xf>
    <xf numFmtId="0" fontId="11" fillId="0" borderId="5" applyAlignment="1" pivotButton="0" quotePrefix="0" xfId="0">
      <alignment horizontal="center" vertical="center"/>
    </xf>
    <xf numFmtId="0" fontId="9" fillId="0" borderId="5" applyAlignment="1" pivotButton="0" quotePrefix="0" xfId="0">
      <alignment vertical="center"/>
    </xf>
    <xf numFmtId="0" fontId="9" fillId="0" borderId="5" applyAlignment="1" pivotButton="0" quotePrefix="0" xfId="0">
      <alignment horizontal="center" vertical="center"/>
    </xf>
    <xf numFmtId="164" fontId="9" fillId="0" borderId="5" applyAlignment="1" pivotButton="0" quotePrefix="0" xfId="0">
      <alignment horizontal="center" vertical="center"/>
    </xf>
    <xf numFmtId="2" fontId="9" fillId="0" borderId="5" applyAlignment="1" pivotButton="0" quotePrefix="0" xfId="0">
      <alignment horizontal="center" vertical="center"/>
    </xf>
    <xf numFmtId="164" fontId="9" fillId="0" borderId="4" applyAlignment="1" pivotButton="0" quotePrefix="0" xfId="0">
      <alignment horizontal="center" vertical="center"/>
    </xf>
    <xf numFmtId="4" fontId="8" fillId="0" borderId="4" applyAlignment="1" pivotButton="0" quotePrefix="0" xfId="2">
      <alignment vertical="center"/>
    </xf>
    <xf numFmtId="0" fontId="9" fillId="0" borderId="4" applyAlignment="1" pivotButton="0" quotePrefix="0" xfId="2">
      <alignment horizontal="center" vertical="center"/>
    </xf>
    <xf numFmtId="4" fontId="9" fillId="0" borderId="4" applyAlignment="1" pivotButton="0" quotePrefix="0" xfId="2">
      <alignment vertical="center"/>
    </xf>
    <xf numFmtId="165" fontId="6" fillId="0" borderId="0" pivotButton="0" quotePrefix="0" xfId="0"/>
    <xf numFmtId="167" fontId="6" fillId="0" borderId="0" pivotButton="0" quotePrefix="0" xfId="0"/>
    <xf numFmtId="49" fontId="10" fillId="7" borderId="4" applyAlignment="1" pivotButton="0" quotePrefix="0" xfId="0">
      <alignment horizontal="center" vertical="center" wrapText="1"/>
    </xf>
    <xf numFmtId="0" fontId="5" fillId="7" borderId="5" applyAlignment="1" pivotButton="0" quotePrefix="0" xfId="0">
      <alignment horizontal="center" vertical="center"/>
    </xf>
    <xf numFmtId="0" fontId="10" fillId="7" borderId="5" applyAlignment="1" pivotButton="0" quotePrefix="0" xfId="0">
      <alignment vertical="center"/>
    </xf>
    <xf numFmtId="0" fontId="10" fillId="7" borderId="5" applyAlignment="1" pivotButton="0" quotePrefix="0" xfId="0">
      <alignment horizontal="center" vertical="center"/>
    </xf>
    <xf numFmtId="164" fontId="10" fillId="7" borderId="5" applyAlignment="1" pivotButton="0" quotePrefix="0" xfId="0">
      <alignment horizontal="center" vertical="center"/>
    </xf>
    <xf numFmtId="2" fontId="10" fillId="7" borderId="5" applyAlignment="1" pivotButton="0" quotePrefix="0" xfId="0">
      <alignment horizontal="center" vertical="center"/>
    </xf>
    <xf numFmtId="164" fontId="10" fillId="7" borderId="4" applyAlignment="1" pivotButton="0" quotePrefix="0" xfId="0">
      <alignment horizontal="center" vertical="center"/>
    </xf>
    <xf numFmtId="4" fontId="12" fillId="7" borderId="4" applyAlignment="1" pivotButton="0" quotePrefix="0" xfId="2">
      <alignment vertical="center"/>
    </xf>
    <xf numFmtId="0" fontId="10" fillId="7" borderId="4" applyAlignment="1" pivotButton="0" quotePrefix="0" xfId="2">
      <alignment horizontal="center" vertical="center"/>
    </xf>
    <xf numFmtId="4" fontId="10" fillId="7" borderId="4" applyAlignment="1" pivotButton="0" quotePrefix="0" xfId="2">
      <alignment vertical="center"/>
    </xf>
    <xf numFmtId="165" fontId="10" fillId="7" borderId="4" applyAlignment="1" pivotButton="0" quotePrefix="0" xfId="2">
      <alignment vertical="center"/>
    </xf>
    <xf numFmtId="165" fontId="9" fillId="7" borderId="4" applyAlignment="1" pivotButton="0" quotePrefix="0" xfId="2">
      <alignment vertical="center"/>
    </xf>
    <xf numFmtId="166" fontId="10" fillId="7" borderId="4" applyAlignment="1" pivotButton="0" quotePrefix="0" xfId="1">
      <alignment vertical="center"/>
    </xf>
    <xf numFmtId="167" fontId="10" fillId="7" borderId="4" applyAlignment="1" pivotButton="0" quotePrefix="0" xfId="2">
      <alignment vertical="center"/>
    </xf>
    <xf numFmtId="9" fontId="10" fillId="7" borderId="4" applyAlignment="1" pivotButton="0" quotePrefix="0" xfId="2">
      <alignment vertical="center"/>
    </xf>
    <xf numFmtId="4" fontId="14" fillId="7" borderId="5" applyAlignment="1" pivotButton="0" quotePrefix="0" xfId="0">
      <alignment horizontal="left" vertical="center" wrapText="1"/>
    </xf>
    <xf numFmtId="165" fontId="0" fillId="0" borderId="0" applyAlignment="1" pivotButton="0" quotePrefix="0" xfId="0">
      <alignment vertical="center"/>
    </xf>
    <xf numFmtId="164" fontId="10" fillId="3" borderId="4" applyAlignment="1" pivotButton="0" quotePrefix="0" xfId="0">
      <alignment horizontal="center" vertical="center"/>
    </xf>
    <xf numFmtId="9" fontId="9" fillId="2" borderId="4" applyAlignment="1" pivotButton="0" quotePrefix="0" xfId="2">
      <alignment vertical="center"/>
    </xf>
    <xf numFmtId="0" fontId="10" fillId="7" borderId="4" applyAlignment="1" pivotButton="0" quotePrefix="0" xfId="0">
      <alignment horizontal="center" vertical="center"/>
    </xf>
    <xf numFmtId="0" fontId="9" fillId="7" borderId="4" applyAlignment="1" pivotButton="0" quotePrefix="0" xfId="2">
      <alignment horizontal="center" vertical="center"/>
    </xf>
    <xf numFmtId="0" fontId="14" fillId="2" borderId="5" applyAlignment="1" pivotButton="0" quotePrefix="0" xfId="0">
      <alignment horizontal="left" wrapText="1"/>
    </xf>
    <xf numFmtId="165" fontId="0" fillId="0" borderId="0" pivotButton="0" quotePrefix="0" xfId="2"/>
    <xf numFmtId="165" fontId="10" fillId="7" borderId="5" applyAlignment="1" pivotButton="0" quotePrefix="0" xfId="2">
      <alignment vertical="center"/>
    </xf>
    <xf numFmtId="166" fontId="10" fillId="3" borderId="5" applyAlignment="1" pivotButton="0" quotePrefix="0" xfId="1">
      <alignment vertical="center"/>
    </xf>
    <xf numFmtId="49" fontId="9" fillId="0" borderId="4" applyAlignment="1" pivotButton="0" quotePrefix="0" xfId="0">
      <alignment horizontal="center" vertical="center" wrapText="1"/>
    </xf>
    <xf numFmtId="164" fontId="8" fillId="0" borderId="5" applyAlignment="1" pivotButton="0" quotePrefix="0" xfId="0">
      <alignment horizontal="center" vertical="center"/>
    </xf>
    <xf numFmtId="164" fontId="8" fillId="0" borderId="4" applyAlignment="1" pivotButton="0" quotePrefix="0" xfId="0">
      <alignment horizontal="center" vertical="center"/>
    </xf>
    <xf numFmtId="49" fontId="10" fillId="7" borderId="5" applyAlignment="1" pivotButton="0" quotePrefix="0" xfId="0">
      <alignment horizontal="center" vertical="center" wrapText="1"/>
    </xf>
    <xf numFmtId="0" fontId="0" fillId="7" borderId="5" applyAlignment="1" pivotButton="0" quotePrefix="0" xfId="0">
      <alignment horizontal="center"/>
    </xf>
    <xf numFmtId="0" fontId="0" fillId="7" borderId="5" pivotButton="0" quotePrefix="0" xfId="0"/>
    <xf numFmtId="14" fontId="0" fillId="7" borderId="5" pivotButton="0" quotePrefix="0" xfId="0"/>
    <xf numFmtId="4" fontId="12" fillId="7" borderId="5" applyAlignment="1" pivotButton="0" quotePrefix="0" xfId="2">
      <alignment vertical="center"/>
    </xf>
    <xf numFmtId="0" fontId="9" fillId="7" borderId="5" applyAlignment="1" pivotButton="0" quotePrefix="0" xfId="2">
      <alignment horizontal="center" vertical="center"/>
    </xf>
    <xf numFmtId="4" fontId="10" fillId="7" borderId="5" applyAlignment="1" pivotButton="0" quotePrefix="0" xfId="2">
      <alignment vertical="center"/>
    </xf>
    <xf numFmtId="165" fontId="9" fillId="7" borderId="5" applyAlignment="1" pivotButton="0" quotePrefix="0" xfId="2">
      <alignment vertical="center"/>
    </xf>
    <xf numFmtId="0" fontId="0" fillId="0" borderId="0" applyAlignment="1" pivotButton="0" quotePrefix="0" xfId="0">
      <alignment horizontal="center"/>
    </xf>
    <xf numFmtId="165" fontId="4" fillId="5" borderId="0" pivotButton="0" quotePrefix="0" xfId="0"/>
    <xf numFmtId="165" fontId="4" fillId="7" borderId="0" pivotButton="0" quotePrefix="0" xfId="0"/>
    <xf numFmtId="167" fontId="4" fillId="0" borderId="0" pivotButton="0" quotePrefix="0" xfId="0"/>
    <xf numFmtId="0" fontId="4" fillId="5" borderId="0" pivotButton="0" quotePrefix="0" xfId="0"/>
    <xf numFmtId="166" fontId="0" fillId="0" borderId="0" pivotButton="0" quotePrefix="0" xfId="0"/>
    <xf numFmtId="167" fontId="4" fillId="9" borderId="0" pivotButton="0" quotePrefix="0" xfId="0"/>
    <xf numFmtId="166" fontId="0" fillId="0" borderId="0" pivotButton="0" quotePrefix="0" xfId="1"/>
    <xf numFmtId="0" fontId="4" fillId="7" borderId="0" pivotButton="0" quotePrefix="0" xfId="0"/>
    <xf numFmtId="165" fontId="0" fillId="5" borderId="0" pivotButton="0" quotePrefix="0" xfId="0"/>
    <xf numFmtId="166" fontId="4" fillId="0" borderId="0" pivotButton="0" quotePrefix="0" xfId="1"/>
    <xf numFmtId="166" fontId="4" fillId="5" borderId="0" pivotButton="0" quotePrefix="0" xfId="1"/>
    <xf numFmtId="166" fontId="4" fillId="5" borderId="0" pivotButton="0" quotePrefix="0" xfId="0"/>
    <xf numFmtId="164" fontId="9" fillId="3" borderId="5" applyAlignment="1" pivotButton="0" quotePrefix="0" xfId="0">
      <alignment horizontal="center" vertical="center"/>
    </xf>
    <xf numFmtId="0" fontId="9" fillId="3" borderId="4" applyAlignment="1" pivotButton="0" quotePrefix="0" xfId="0">
      <alignment horizontal="center" vertical="center"/>
    </xf>
    <xf numFmtId="49" fontId="9" fillId="3" borderId="4" applyAlignment="1" pivotButton="0" quotePrefix="0" xfId="0">
      <alignment horizontal="center" vertical="center"/>
    </xf>
    <xf numFmtId="0" fontId="11" fillId="3" borderId="5" applyAlignment="1" pivotButton="0" quotePrefix="0" xfId="0">
      <alignment horizontal="center" vertical="center"/>
    </xf>
    <xf numFmtId="0" fontId="9" fillId="3" borderId="5" applyAlignment="1" pivotButton="0" quotePrefix="0" xfId="0">
      <alignment vertical="center"/>
    </xf>
    <xf numFmtId="0" fontId="11" fillId="3" borderId="5" applyAlignment="1" pivotButton="0" quotePrefix="0" xfId="0">
      <alignment horizontal="center" vertical="center" wrapText="1"/>
    </xf>
    <xf numFmtId="0" fontId="9" fillId="3" borderId="5" applyAlignment="1" pivotButton="0" quotePrefix="0" xfId="0">
      <alignment horizontal="center" vertical="center"/>
    </xf>
    <xf numFmtId="2" fontId="9" fillId="3" borderId="5" applyAlignment="1" pivotButton="0" quotePrefix="0" xfId="0">
      <alignment horizontal="center" vertical="center"/>
    </xf>
    <xf numFmtId="164" fontId="9" fillId="3" borderId="4" applyAlignment="1" pivotButton="0" quotePrefix="0" xfId="0">
      <alignment horizontal="center" vertical="center"/>
    </xf>
    <xf numFmtId="4" fontId="9" fillId="3" borderId="4" applyAlignment="1" pivotButton="0" quotePrefix="0" xfId="2">
      <alignment vertical="center"/>
    </xf>
    <xf numFmtId="167" fontId="9" fillId="3" borderId="4" applyAlignment="1" pivotButton="0" quotePrefix="0" xfId="2">
      <alignment vertical="center"/>
    </xf>
    <xf numFmtId="9" fontId="9" fillId="3" borderId="4" applyAlignment="1" pivotButton="0" quotePrefix="0" xfId="2">
      <alignment vertical="center"/>
    </xf>
    <xf numFmtId="4" fontId="13" fillId="3" borderId="5" applyAlignment="1" pivotButton="0" quotePrefix="0" xfId="0">
      <alignment horizontal="left" vertical="center" wrapText="1"/>
    </xf>
    <xf numFmtId="165" fontId="3" fillId="2" borderId="0" pivotButton="0" quotePrefix="0" xfId="0"/>
    <xf numFmtId="167" fontId="3" fillId="2" borderId="0" pivotButton="0" quotePrefix="0" xfId="0"/>
    <xf numFmtId="0" fontId="3" fillId="2" borderId="0" pivotButton="0" quotePrefix="0" xfId="0"/>
    <xf numFmtId="165" fontId="10" fillId="5" borderId="4" applyAlignment="1" pivotButton="0" quotePrefix="0" xfId="2">
      <alignment vertical="center"/>
    </xf>
    <xf numFmtId="165" fontId="10" fillId="2" borderId="5" applyAlignment="1" pivotButton="0" quotePrefix="0" xfId="2">
      <alignment vertical="center"/>
    </xf>
    <xf numFmtId="165" fontId="0" fillId="0" borderId="0" pivotButton="0" quotePrefix="0" xfId="0"/>
    <xf numFmtId="165" fontId="4" fillId="5" borderId="0" pivotButton="0" quotePrefix="0" xfId="0"/>
    <xf numFmtId="166" fontId="0" fillId="0" borderId="0" applyAlignment="1" pivotButton="0" quotePrefix="0" xfId="1">
      <alignment vertical="center"/>
    </xf>
    <xf numFmtId="166" fontId="8" fillId="4" borderId="3" applyAlignment="1" pivotButton="0" quotePrefix="0" xfId="1">
      <alignment horizontal="center" vertical="top" wrapText="1"/>
    </xf>
    <xf numFmtId="166" fontId="8" fillId="5" borderId="3" applyAlignment="1" pivotButton="0" quotePrefix="0" xfId="1">
      <alignment horizontal="center" vertical="top" wrapText="1"/>
    </xf>
    <xf numFmtId="166" fontId="8" fillId="6" borderId="3" applyAlignment="1" pivotButton="0" quotePrefix="0" xfId="1">
      <alignment horizontal="center" vertical="top" wrapText="1"/>
    </xf>
    <xf numFmtId="166" fontId="8" fillId="7" borderId="3" applyAlignment="1" pivotButton="0" quotePrefix="0" xfId="1">
      <alignment horizontal="center" vertical="top" wrapText="1"/>
    </xf>
    <xf numFmtId="166" fontId="8" fillId="8" borderId="3" applyAlignment="1" pivotButton="0" quotePrefix="0" xfId="1">
      <alignment horizontal="center" vertical="top" wrapText="1"/>
    </xf>
    <xf numFmtId="166" fontId="10" fillId="3" borderId="5" applyAlignment="1" pivotButton="0" quotePrefix="0" xfId="1">
      <alignment horizontal="center" vertical="center"/>
    </xf>
    <xf numFmtId="166" fontId="10" fillId="3" borderId="4" applyAlignment="1" pivotButton="0" quotePrefix="0" xfId="1">
      <alignment horizontal="center" vertical="center"/>
    </xf>
    <xf numFmtId="165" fontId="10" fillId="3" borderId="4" applyAlignment="1" pivotButton="0" quotePrefix="0" xfId="2">
      <alignment vertical="center"/>
    </xf>
    <xf numFmtId="165" fontId="9" fillId="3" borderId="4" applyAlignment="1" pivotButton="0" quotePrefix="0" xfId="2">
      <alignment vertical="center"/>
    </xf>
    <xf numFmtId="165" fontId="12" fillId="5" borderId="4" applyAlignment="1" pivotButton="0" quotePrefix="0" xfId="2">
      <alignment vertical="center"/>
    </xf>
    <xf numFmtId="166" fontId="10" fillId="3" borderId="4" applyAlignment="1" pivotButton="0" quotePrefix="0" xfId="1">
      <alignment vertical="center"/>
    </xf>
    <xf numFmtId="165" fontId="8" fillId="3" borderId="4" applyAlignment="1" pivotButton="0" quotePrefix="0" xfId="2">
      <alignment vertical="center"/>
    </xf>
    <xf numFmtId="167" fontId="10" fillId="3" borderId="4" applyAlignment="1" pivotButton="0" quotePrefix="0" xfId="2">
      <alignment vertical="center"/>
    </xf>
    <xf numFmtId="167" fontId="4" fillId="5" borderId="0" pivotButton="0" quotePrefix="0" xfId="0"/>
    <xf numFmtId="165" fontId="9" fillId="0" borderId="4" applyAlignment="1" pivotButton="0" quotePrefix="0" xfId="2">
      <alignment vertical="center"/>
    </xf>
    <xf numFmtId="165" fontId="9" fillId="2" borderId="4" applyAlignment="1" pivotButton="0" quotePrefix="0" xfId="2">
      <alignment vertical="center"/>
    </xf>
    <xf numFmtId="165" fontId="8" fillId="7" borderId="4" applyAlignment="1" pivotButton="0" quotePrefix="0" xfId="2">
      <alignment vertical="center"/>
    </xf>
    <xf numFmtId="167" fontId="10" fillId="2" borderId="4" applyAlignment="1" pivotButton="0" quotePrefix="0" xfId="2">
      <alignment vertical="center"/>
    </xf>
    <xf numFmtId="167" fontId="9" fillId="2" borderId="4" applyAlignment="1" pivotButton="0" quotePrefix="0" xfId="2">
      <alignment vertical="center"/>
    </xf>
    <xf numFmtId="165" fontId="10" fillId="2" borderId="4" applyAlignment="1" pivotButton="0" quotePrefix="0" xfId="2">
      <alignment vertical="center"/>
    </xf>
    <xf numFmtId="165" fontId="6" fillId="0" borderId="0" pivotButton="0" quotePrefix="0" xfId="0"/>
    <xf numFmtId="167" fontId="0" fillId="0" borderId="0" pivotButton="0" quotePrefix="0" xfId="0"/>
    <xf numFmtId="165" fontId="10" fillId="7" borderId="4" applyAlignment="1" pivotButton="0" quotePrefix="0" xfId="2">
      <alignment vertical="center"/>
    </xf>
    <xf numFmtId="165" fontId="9" fillId="7" borderId="4" applyAlignment="1" pivotButton="0" quotePrefix="0" xfId="2">
      <alignment vertical="center"/>
    </xf>
    <xf numFmtId="166" fontId="10" fillId="7" borderId="4" applyAlignment="1" pivotButton="0" quotePrefix="0" xfId="1">
      <alignment vertical="center"/>
    </xf>
    <xf numFmtId="167" fontId="10" fillId="7" borderId="4" applyAlignment="1" pivotButton="0" quotePrefix="0" xfId="2">
      <alignment vertical="center"/>
    </xf>
    <xf numFmtId="165" fontId="0" fillId="0" borderId="0" applyAlignment="1" pivotButton="0" quotePrefix="0" xfId="0">
      <alignment vertical="center"/>
    </xf>
    <xf numFmtId="165" fontId="10" fillId="0" borderId="4" applyAlignment="1" pivotButton="0" quotePrefix="0" xfId="2">
      <alignment vertical="center"/>
    </xf>
    <xf numFmtId="165" fontId="10" fillId="2" borderId="5" applyAlignment="1" pivotButton="0" quotePrefix="0" xfId="2">
      <alignment vertical="center"/>
    </xf>
    <xf numFmtId="165" fontId="0" fillId="0" borderId="0" pivotButton="0" quotePrefix="0" xfId="2"/>
    <xf numFmtId="166" fontId="10" fillId="3" borderId="5" applyAlignment="1" pivotButton="0" quotePrefix="0" xfId="1">
      <alignment vertical="center"/>
    </xf>
    <xf numFmtId="167" fontId="6" fillId="0" borderId="0" pivotButton="0" quotePrefix="0" xfId="0"/>
    <xf numFmtId="167" fontId="9" fillId="3" borderId="4" applyAlignment="1" pivotButton="0" quotePrefix="0" xfId="2">
      <alignment vertical="center"/>
    </xf>
    <xf numFmtId="165" fontId="3" fillId="2" borderId="0" pivotButton="0" quotePrefix="0" xfId="0"/>
    <xf numFmtId="167" fontId="3" fillId="2" borderId="0" pivotButton="0" quotePrefix="0" xfId="0"/>
    <xf numFmtId="165" fontId="10" fillId="7" borderId="5" applyAlignment="1" pivotButton="0" quotePrefix="0" xfId="2">
      <alignment vertical="center"/>
    </xf>
    <xf numFmtId="165" fontId="9" fillId="7" borderId="5" applyAlignment="1" pivotButton="0" quotePrefix="0" xfId="2">
      <alignment vertical="center"/>
    </xf>
    <xf numFmtId="165" fontId="4" fillId="0" borderId="0" pivotButton="0" quotePrefix="0" xfId="0"/>
    <xf numFmtId="165" fontId="10" fillId="5" borderId="4" applyAlignment="1" pivotButton="0" quotePrefix="0" xfId="2">
      <alignment vertical="center"/>
    </xf>
    <xf numFmtId="167" fontId="4" fillId="0" borderId="0" pivotButton="0" quotePrefix="0" xfId="0"/>
    <xf numFmtId="166" fontId="0" fillId="0" borderId="0" pivotButton="0" quotePrefix="0" xfId="0"/>
    <xf numFmtId="165" fontId="4" fillId="7" borderId="0" pivotButton="0" quotePrefix="0" xfId="0"/>
    <xf numFmtId="167" fontId="4" fillId="9" borderId="0" pivotButton="0" quotePrefix="0" xfId="0"/>
    <xf numFmtId="166" fontId="0" fillId="0" borderId="0" pivotButton="0" quotePrefix="0" xfId="1"/>
    <xf numFmtId="165" fontId="0" fillId="5" borderId="0" pivotButton="0" quotePrefix="0" xfId="0"/>
    <xf numFmtId="166" fontId="4" fillId="0" borderId="0" pivotButton="0" quotePrefix="0" xfId="1"/>
    <xf numFmtId="166" fontId="4" fillId="5" borderId="0" pivotButton="0" quotePrefix="0" xfId="1"/>
    <xf numFmtId="166" fontId="4" fillId="5" borderId="0" pivotButton="0" quotePrefix="0" xfId="0"/>
  </cellXfs>
  <cellStyles count="3">
    <cellStyle name="Normal" xfId="0" builtinId="0"/>
    <cellStyle name="Millares" xfId="1" builtinId="3"/>
    <cellStyle name="Moneda" xfId="2"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externalLink" Target="/xl/externalLinks/externalLink1.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Patricia  Rivera Picos</author>
    <author>Petra Vega Hernandez</author>
    <author>Leticia Guadalupe Aragon</author>
    <author>Ana Marina Lugo Felix</author>
  </authors>
  <commentList>
    <comment ref="Q4" authorId="0" shapeId="0">
      <text>
        <t>Patricia  Rivera Picos:
incremento en la UMA, por lo que se incremento el valor de la despensa, por lo que se hace un ajuste para seguir manejando el mismo sueldo bruto sin incrementos, PARA INGRESOS DE FEBRERO 2025 HACIA ATRAS</t>
      </text>
    </comment>
    <comment ref="Z5" authorId="1" shapeId="0">
      <text>
        <t xml:space="preserve">Petra Vega Hernandez:
PUSE EFECTIVOS
</t>
      </text>
    </comment>
    <comment ref="I7" authorId="1" shapeId="0">
      <text>
        <t xml:space="preserve">Petra Vega Hernandez:
INGRESO EN NOMINA quincenal 01/01/2022
</t>
      </text>
    </comment>
    <comment ref="W7" authorId="2" shapeId="0">
      <text>
        <t>Leticia Guadalupe Aragon:
SEGÚN REGistro A PARTIR FEB-2021</t>
      </text>
    </comment>
    <comment ref="I8" authorId="2" shapeId="0">
      <text>
        <t>Leticia Guadalupe Aragon:
INGRESO A LA NOM. 01-07-2013-BAJA 15/03/2026
INGRESO NOM. ASIMIALDOS 16/03/2026</t>
      </text>
    </comment>
    <comment ref="V11" authorId="1" shapeId="0">
      <text>
        <t>Petra Vega Hernandez:
INCLIYE EL NOMINAL CARRO $6,498.30</t>
      </text>
    </comment>
    <comment ref="I19" authorId="3" shapeId="0">
      <text>
        <t>Ana Marina Lugo Felix:
se dio de baja en AHA 31/04/2026.y se dio de alta en BYRMAX el 01/05/2026.</t>
      </text>
    </comment>
    <comment ref="Z19" authorId="3" shapeId="0">
      <text>
        <t xml:space="preserve">Ana Marina Lugo Felix:
FACTURA MENSUAL COMISIONES POR 150,000 +IVA - RETENCIONES, A PARTIR DEL 01 ENERO 2024, SE PAGA EL ULTMO DIA DEL MES
</t>
      </text>
    </comment>
  </commentList>
</comments>
</file>

<file path=xl/externalLinks/_rels/externalLink1.xml.rels><Relationships xmlns="http://schemas.openxmlformats.org/package/2006/relationships"><Relationship Type="http://schemas.openxmlformats.org/officeDocument/2006/relationships/externalLinkPath" Target="file:///\\srv-conta\00..archivos\Prestaciones\0.BASE%20DE%20DATOS%20LAFHER%20NUEVA%202023.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BASE"/>
      <sheetName val="UMA Y SMG"/>
      <sheetName val="BAJAS PERSONAL"/>
      <sheetName val="ASESORES"/>
      <sheetName val="baja asesor"/>
      <sheetName val="TABULADOR"/>
      <sheetName val="Descuento Quincenal"/>
      <sheetName val="VACACIONES1"/>
      <sheetName val="INCIDENCIAS"/>
      <sheetName val="Fact Int"/>
      <sheetName val="Hoja1"/>
      <sheetName val="BASE (2)"/>
    </sheetNames>
    <sheetDataSet>
      <sheetData sheetId="0" refreshError="1"/>
      <sheetData sheetId="1" refreshError="1">
        <row r="15">
          <cell r="F15">
            <v>6306.48</v>
          </cell>
        </row>
        <row r="26">
          <cell r="F26">
            <v>0.11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K35"/>
  <sheetViews>
    <sheetView tabSelected="1" topLeftCell="D1" zoomScale="80" zoomScaleNormal="80" workbookViewId="0">
      <selection activeCell="N20" sqref="N20"/>
    </sheetView>
  </sheetViews>
  <sheetFormatPr baseColWidth="10" defaultRowHeight="15"/>
  <cols>
    <col width="4.42578125" bestFit="1" customWidth="1" style="138" min="1" max="1"/>
    <col width="5.7109375" customWidth="1" style="138" min="2" max="2"/>
    <col width="10.28515625" customWidth="1" style="138" min="3" max="3"/>
    <col width="14.7109375" customWidth="1" min="4" max="4"/>
    <col hidden="1" width="15" customWidth="1" min="5" max="5"/>
    <col hidden="1" width="15.5703125" customWidth="1" min="6" max="6"/>
    <col hidden="1" width="20.5703125" customWidth="1" min="7" max="7"/>
    <col hidden="1" width="14.28515625" customWidth="1" min="8" max="8"/>
    <col hidden="1" width="13" customWidth="1" min="9" max="9"/>
    <col hidden="1" width="12.5703125" customWidth="1" min="10" max="10"/>
    <col hidden="1" width="13" customWidth="1" min="11" max="11"/>
    <col hidden="1" width="10.28515625" customWidth="1" min="12" max="12"/>
    <col hidden="1" width="12.28515625" customWidth="1" style="5" min="13" max="13"/>
    <col width="15" customWidth="1" min="14" max="14"/>
    <col width="13.5703125" customWidth="1" style="11" min="15" max="15"/>
    <col width="13.42578125" customWidth="1" min="16" max="16"/>
    <col width="14.140625" customWidth="1" min="17" max="17"/>
    <col width="15.28515625" customWidth="1" min="18" max="18"/>
    <col width="13.5703125" customWidth="1" min="19" max="19"/>
    <col width="14.28515625" customWidth="1" min="20" max="20"/>
    <col width="15.7109375" customWidth="1" style="142" min="21" max="21"/>
    <col width="14.140625" customWidth="1" min="22" max="23"/>
    <col width="12.28515625" bestFit="1" customWidth="1" min="24" max="24"/>
    <col width="12" customWidth="1" style="8" min="25" max="25"/>
    <col width="13.42578125" bestFit="1" customWidth="1" min="26" max="26"/>
    <col width="11.7109375" customWidth="1" min="27" max="27"/>
    <col width="17.85546875" customWidth="1" style="146" min="28" max="28"/>
    <col width="17.85546875" customWidth="1" min="29" max="29"/>
    <col hidden="1" width="8.85546875" customWidth="1" min="30" max="30"/>
    <col hidden="1" width="12.7109375" customWidth="1" min="31" max="31"/>
    <col width="16" customWidth="1" min="32" max="32"/>
    <col width="17.85546875" customWidth="1" min="33" max="33"/>
    <col width="58.85546875" customWidth="1" min="34" max="34"/>
    <col width="12" customWidth="1" min="35" max="35"/>
    <col width="12.42578125" bestFit="1" customWidth="1" min="36" max="36"/>
  </cols>
  <sheetData>
    <row r="1">
      <c r="A1" s="1" t="n"/>
      <c r="B1" s="1" t="n"/>
      <c r="C1" s="2" t="n"/>
      <c r="D1" s="3" t="n"/>
      <c r="E1" s="2" t="n"/>
      <c r="F1" s="2" t="n"/>
      <c r="G1" s="2" t="n"/>
      <c r="H1" s="2" t="n"/>
      <c r="I1" s="2" t="n"/>
      <c r="J1" s="4" t="n"/>
      <c r="K1" s="4" t="n"/>
      <c r="L1" s="4" t="n"/>
      <c r="O1" s="169" t="n"/>
      <c r="P1" s="169" t="n"/>
      <c r="Q1" s="169" t="n"/>
      <c r="R1" s="169" t="n"/>
      <c r="S1" s="169" t="n"/>
      <c r="AB1" s="7" t="n"/>
    </row>
    <row r="2" ht="15.75" customHeight="1">
      <c r="A2" s="1" t="n"/>
      <c r="B2" s="1" t="n"/>
      <c r="C2" s="9" t="inlineStr">
        <is>
          <t>PRENOMINA ADMISTRATIVA 30-04-2026</t>
        </is>
      </c>
      <c r="D2" s="10" t="n"/>
      <c r="E2" s="2" t="n"/>
      <c r="F2" s="2" t="n"/>
      <c r="G2" s="2" t="n"/>
      <c r="H2" s="2" t="n"/>
      <c r="I2" s="2" t="n"/>
      <c r="J2" s="4" t="n"/>
      <c r="K2" s="4" t="n"/>
      <c r="L2" s="4" t="n"/>
      <c r="AB2" s="7" t="n"/>
    </row>
    <row r="3">
      <c r="A3" s="1" t="n"/>
      <c r="B3" s="1" t="n"/>
      <c r="C3" s="1" t="n"/>
      <c r="D3" s="10" t="n"/>
      <c r="E3" s="2" t="n"/>
      <c r="F3" s="2" t="n"/>
      <c r="G3" s="2" t="inlineStr">
        <is>
          <t>PRIMA %:</t>
        </is>
      </c>
      <c r="H3" s="2" t="n">
        <v>25</v>
      </c>
      <c r="I3" s="2" t="inlineStr">
        <is>
          <t>AGUINALDO DYS:</t>
        </is>
      </c>
      <c r="J3" s="1" t="n">
        <v>15</v>
      </c>
      <c r="K3" s="4" t="inlineStr">
        <is>
          <t>FA %:</t>
        </is>
      </c>
      <c r="L3" s="1" t="n">
        <v>11</v>
      </c>
      <c r="M3" t="inlineStr">
        <is>
          <t>DIAS MES:</t>
        </is>
      </c>
      <c r="N3" t="n">
        <v>30.4</v>
      </c>
      <c r="O3" t="inlineStr">
        <is>
          <t>VALES %:</t>
        </is>
      </c>
      <c r="P3" t="n">
        <v>40</v>
      </c>
      <c r="R3" t="inlineStr">
        <is>
          <t>UMA 2026:</t>
        </is>
      </c>
      <c r="S3" t="n">
        <v>117.31</v>
      </c>
      <c r="U3" s="170" t="n"/>
      <c r="AB3" s="7" t="n"/>
      <c r="AH3" s="13" t="inlineStr">
        <is>
          <t>07 al 21 ago 2025 ( incidencias checador)</t>
        </is>
      </c>
    </row>
    <row r="4" ht="15.75" customHeight="1" thickBot="1">
      <c r="A4" s="1" t="n"/>
      <c r="B4" s="1" t="n"/>
      <c r="C4" s="2" t="n"/>
      <c r="D4" s="10" t="n"/>
      <c r="E4" s="2" t="n"/>
      <c r="F4" s="2" t="n"/>
      <c r="G4" s="2" t="n"/>
      <c r="H4" s="2" t="n"/>
      <c r="I4" s="2" t="n"/>
      <c r="J4" s="4" t="n">
        <v>46142</v>
      </c>
      <c r="K4" s="4" t="n"/>
      <c r="L4" s="4" t="n"/>
      <c r="Q4" s="8" t="n"/>
      <c r="AB4" s="7" t="n"/>
      <c r="AG4" s="14" t="n">
        <v>46142</v>
      </c>
      <c r="AH4" s="171" t="n"/>
    </row>
    <row r="5" ht="54.75" customHeight="1" thickBot="1">
      <c r="A5" s="16" t="inlineStr">
        <is>
          <t>No.</t>
        </is>
      </c>
      <c r="B5" s="17" t="inlineStr">
        <is>
          <t>Cod.</t>
        </is>
      </c>
      <c r="C5" s="18" t="inlineStr">
        <is>
          <t>EMPRESA</t>
        </is>
      </c>
      <c r="D5" s="19" t="inlineStr">
        <is>
          <t>NOMBRE COMPLETO</t>
        </is>
      </c>
      <c r="E5" s="18" t="inlineStr">
        <is>
          <t>AREA</t>
        </is>
      </c>
      <c r="F5" s="18" t="inlineStr">
        <is>
          <t>DEPARTAMENTO</t>
        </is>
      </c>
      <c r="G5" s="18" t="inlineStr">
        <is>
          <t>PUESTO</t>
        </is>
      </c>
      <c r="H5" s="18" t="inlineStr">
        <is>
          <t>LUGAR DE TRABAJO</t>
        </is>
      </c>
      <c r="I5" s="20" t="inlineStr">
        <is>
          <t>FECHA DE INGRESO</t>
        </is>
      </c>
      <c r="J5" s="20" t="inlineStr">
        <is>
          <t>AÑOS DE LABORES</t>
        </is>
      </c>
      <c r="K5" s="20" t="inlineStr">
        <is>
          <t>FECHA DE BAJA</t>
        </is>
      </c>
      <c r="L5" s="20" t="inlineStr">
        <is>
          <t>CUENTA CON FONDO DE AHORRO</t>
        </is>
      </c>
      <c r="M5" s="21" t="inlineStr">
        <is>
          <t>SALARIO DIARIO</t>
        </is>
      </c>
      <c r="N5" s="20" t="inlineStr">
        <is>
          <t>FACTOR INTEGRACION IMSS</t>
        </is>
      </c>
      <c r="O5" s="21" t="inlineStr">
        <is>
          <t>SALARIO DIARIO INTEGRADO</t>
        </is>
      </c>
      <c r="P5" s="172" t="inlineStr">
        <is>
          <t>SUELDO NOMINAL</t>
        </is>
      </c>
      <c r="Q5" s="172" t="inlineStr">
        <is>
          <t xml:space="preserve">PUNTUALIDAD </t>
        </is>
      </c>
      <c r="R5" s="172" t="inlineStr">
        <is>
          <t xml:space="preserve"> ASISTENCIA</t>
        </is>
      </c>
      <c r="S5" s="172" t="inlineStr">
        <is>
          <t>VALES DE DESPENSA</t>
        </is>
      </c>
      <c r="T5" s="172" t="inlineStr">
        <is>
          <t>FONDO DE AHORRO</t>
        </is>
      </c>
      <c r="U5" s="173" t="inlineStr">
        <is>
          <t>PERCEPCION SUELDOS</t>
        </is>
      </c>
      <c r="V5" s="174" t="inlineStr">
        <is>
          <t>HONORARIOS ASIMILADOS</t>
        </is>
      </c>
      <c r="W5" s="174" t="inlineStr">
        <is>
          <t>GASOLINA SUELDO</t>
        </is>
      </c>
      <c r="X5" s="174" t="inlineStr">
        <is>
          <t>SOCIO</t>
        </is>
      </c>
      <c r="Y5" s="174" t="inlineStr">
        <is>
          <t>Efectivo</t>
        </is>
      </c>
      <c r="Z5" s="174" t="inlineStr">
        <is>
          <t>FACTURADO</t>
        </is>
      </c>
      <c r="AA5" s="174" t="inlineStr">
        <is>
          <t>DEUDA DE CARRO</t>
        </is>
      </c>
      <c r="AB5" s="175" t="inlineStr">
        <is>
          <t>SUELDO BRUTO MENSUAL</t>
        </is>
      </c>
      <c r="AC5" s="172" t="inlineStr">
        <is>
          <t>SUELDO BRUTO QUINCENAL</t>
        </is>
      </c>
      <c r="AD5" s="172" t="inlineStr">
        <is>
          <t>PORCENTAJE</t>
        </is>
      </c>
      <c r="AE5" s="172" t="inlineStr">
        <is>
          <t>DESCUENTO</t>
        </is>
      </c>
      <c r="AF5" s="176" t="inlineStr">
        <is>
          <t xml:space="preserve">SUELDO BRUTO MENSUAL </t>
        </is>
      </c>
      <c r="AG5" s="176" t="inlineStr">
        <is>
          <t xml:space="preserve">SUELDO BRUTO QUINCENAL </t>
        </is>
      </c>
      <c r="AH5" s="18" t="inlineStr">
        <is>
          <t>OBSERVACIONES</t>
        </is>
      </c>
      <c r="AJ5" s="27" t="inlineStr">
        <is>
          <t>Descuento empleados s/Quincenal</t>
        </is>
      </c>
      <c r="AK5" s="27" t="inlineStr">
        <is>
          <t>Descuento empleados s/Mensual</t>
        </is>
      </c>
    </row>
    <row r="6">
      <c r="A6" s="71" t="n">
        <v>13</v>
      </c>
      <c r="B6" s="72" t="inlineStr">
        <is>
          <t>190</t>
        </is>
      </c>
      <c r="C6" s="68" t="inlineStr">
        <is>
          <t>AHA</t>
        </is>
      </c>
      <c r="D6" s="73" t="inlineStr">
        <is>
          <t>EMPLEADO 1</t>
        </is>
      </c>
      <c r="E6" s="68" t="inlineStr">
        <is>
          <t>ADMINISTRATIVA</t>
        </is>
      </c>
      <c r="F6" s="68" t="inlineStr">
        <is>
          <t>MARKETING</t>
        </is>
      </c>
      <c r="G6" s="68" t="inlineStr">
        <is>
          <t>CONTENT MANAGER</t>
        </is>
      </c>
      <c r="H6" s="74" t="inlineStr">
        <is>
          <t>CORPORATIVO</t>
        </is>
      </c>
      <c r="I6" s="75" t="n">
        <v>45880</v>
      </c>
      <c r="J6" s="76" t="n">
        <v>0.7178082191780822</v>
      </c>
      <c r="K6" s="177" t="n"/>
      <c r="L6" s="178" t="inlineStr">
        <is>
          <t>NO</t>
        </is>
      </c>
      <c r="M6" s="79" t="n">
        <v>370.43</v>
      </c>
      <c r="N6" s="80" t="n">
        <v>1.0493</v>
      </c>
      <c r="O6" s="81" t="n">
        <v>388.692199</v>
      </c>
      <c r="P6" s="179" t="n">
        <v>11261.07</v>
      </c>
      <c r="Q6" s="180" t="n">
        <v>1181.62</v>
      </c>
      <c r="R6" s="179" t="n">
        <v>1181.62</v>
      </c>
      <c r="S6" s="180" t="n">
        <v>1426.4896</v>
      </c>
      <c r="T6" s="179">
        <f>IF(L6="Si",P6*'[1]UMA Y SMG'!$F$26,0)</f>
        <v/>
      </c>
      <c r="U6" s="181">
        <f>SUM(P6:T6)</f>
        <v/>
      </c>
      <c r="V6" s="179" t="n"/>
      <c r="W6" s="179" t="n"/>
      <c r="X6" s="179" t="n"/>
      <c r="Y6" s="180" t="n"/>
      <c r="Z6" s="179" t="n"/>
      <c r="AA6" s="182" t="n"/>
      <c r="AB6" s="183">
        <f>SUM(U6:AA6)</f>
        <v/>
      </c>
      <c r="AC6" s="184">
        <f>AB6/2</f>
        <v/>
      </c>
      <c r="AD6" s="87" t="n">
        <v>0</v>
      </c>
      <c r="AE6" s="184" t="n"/>
      <c r="AF6" s="179">
        <f>AB6-AE6</f>
        <v/>
      </c>
      <c r="AG6" s="179">
        <f>AF6/2/15*13</f>
        <v/>
      </c>
      <c r="AH6" s="88" t="inlineStr">
        <is>
          <t>DESCONTAR 2 DIAS / VALIDADO CON SU JEFE DIRECTO</t>
        </is>
      </c>
      <c r="AI6" s="169">
        <f>AB6-U6-V6-W6-X6-Y6-Z6-AA6</f>
        <v/>
      </c>
      <c r="AJ6" s="185">
        <f>AC6-AG6</f>
        <v/>
      </c>
      <c r="AK6" t="inlineStr">
        <is>
          <t>OK, DESCONTAR 1 DIA X RETARDOS</t>
        </is>
      </c>
    </row>
    <row r="7" ht="20.25" customFormat="1" customHeight="1" s="8">
      <c r="A7" s="90" t="n">
        <v>14</v>
      </c>
      <c r="B7" s="90" t="n">
        <v>171</v>
      </c>
      <c r="C7" s="91" t="inlineStr">
        <is>
          <t>BYRMAX</t>
        </is>
      </c>
      <c r="D7" s="92" t="inlineStr">
        <is>
          <t>EMPLEADO 2</t>
        </is>
      </c>
      <c r="E7" s="91" t="inlineStr">
        <is>
          <t>TECNICA</t>
        </is>
      </c>
      <c r="F7" s="91" t="inlineStr">
        <is>
          <t>PRODUCCION</t>
        </is>
      </c>
      <c r="G7" s="91" t="inlineStr">
        <is>
          <t>TOPOGRAFO</t>
        </is>
      </c>
      <c r="H7" s="93" t="inlineStr">
        <is>
          <t>MAZATLAN</t>
        </is>
      </c>
      <c r="I7" s="94" t="n">
        <v>43973</v>
      </c>
      <c r="J7" s="95" t="n">
        <v>5.942465753424657</v>
      </c>
      <c r="K7" s="94" t="n"/>
      <c r="L7" s="96" t="inlineStr">
        <is>
          <t>NO</t>
        </is>
      </c>
      <c r="M7" s="97" t="n">
        <v>781.01</v>
      </c>
      <c r="N7" s="98" t="n">
        <v>1.0548</v>
      </c>
      <c r="O7" s="99" t="n">
        <v>823.809348</v>
      </c>
      <c r="P7" s="186" t="n">
        <v>23742.7</v>
      </c>
      <c r="Q7" s="187" t="n">
        <v>2504.38</v>
      </c>
      <c r="R7" s="186" t="n">
        <v>2504.38</v>
      </c>
      <c r="S7" s="186" t="n">
        <v>1426.4896</v>
      </c>
      <c r="T7" s="186" t="n">
        <v>0</v>
      </c>
      <c r="U7" s="181">
        <f>SUM(P7:T7)</f>
        <v/>
      </c>
      <c r="V7" s="186" t="n"/>
      <c r="W7" s="186" t="n">
        <v>2000</v>
      </c>
      <c r="X7" s="186" t="n"/>
      <c r="Y7" s="186" t="n"/>
      <c r="Z7" s="186" t="n"/>
      <c r="AA7" s="187" t="n"/>
      <c r="AB7" s="188">
        <f>SUM(U7:AA7)</f>
        <v/>
      </c>
      <c r="AC7" s="189">
        <f>AB7/2</f>
        <v/>
      </c>
      <c r="AD7" s="43" t="n">
        <v>0</v>
      </c>
      <c r="AE7" s="190" t="n">
        <v>0</v>
      </c>
      <c r="AF7" s="191">
        <f>AB7-AE7</f>
        <v/>
      </c>
      <c r="AG7" s="191">
        <f>AF7/2</f>
        <v/>
      </c>
      <c r="AH7" s="44" t="inlineStr">
        <is>
          <t>OK</t>
        </is>
      </c>
      <c r="AI7" s="192" t="n">
        <v>0</v>
      </c>
      <c r="AJ7" s="193" t="n">
        <v>0</v>
      </c>
    </row>
    <row r="8" ht="45" customHeight="1">
      <c r="A8" s="28" t="n">
        <v>18</v>
      </c>
      <c r="B8" s="102" t="inlineStr">
        <is>
          <t>108</t>
        </is>
      </c>
      <c r="C8" s="103" t="inlineStr">
        <is>
          <t>CPI/ ASIMIL</t>
        </is>
      </c>
      <c r="D8" s="104" t="inlineStr">
        <is>
          <t>EMPLEADO 3</t>
        </is>
      </c>
      <c r="E8" s="103" t="inlineStr">
        <is>
          <t>TECNICA</t>
        </is>
      </c>
      <c r="F8" s="103" t="inlineStr">
        <is>
          <t>INGENIERIA</t>
        </is>
      </c>
      <c r="G8" s="103" t="inlineStr">
        <is>
          <t>PROYECTISTA URBANIZACIÓN</t>
        </is>
      </c>
      <c r="H8" s="105" t="inlineStr">
        <is>
          <t>CORPORATIVO</t>
        </is>
      </c>
      <c r="I8" s="106" t="n">
        <v>41456</v>
      </c>
      <c r="J8" s="107" t="n">
        <v>12.83835616438356</v>
      </c>
      <c r="K8" s="106" t="n"/>
      <c r="L8" s="108" t="inlineStr">
        <is>
          <t>NO</t>
        </is>
      </c>
      <c r="M8" s="109" t="n"/>
      <c r="N8" s="110" t="n">
        <v>1.0575</v>
      </c>
      <c r="O8" s="111" t="inlineStr">
        <is>
          <t>-</t>
        </is>
      </c>
      <c r="P8" s="194" t="n">
        <v>0</v>
      </c>
      <c r="Q8" s="195" t="n">
        <v>0</v>
      </c>
      <c r="R8" s="194" t="n"/>
      <c r="S8" s="194" t="n"/>
      <c r="T8" s="194" t="n">
        <v>0</v>
      </c>
      <c r="U8" s="181">
        <f>SUM(P8:T8)</f>
        <v/>
      </c>
      <c r="V8" s="194" t="n">
        <v>28121.84</v>
      </c>
      <c r="W8" s="194" t="n"/>
      <c r="X8" s="194" t="n"/>
      <c r="Y8" s="194" t="n"/>
      <c r="Z8" s="194" t="n"/>
      <c r="AA8" s="196" t="n"/>
      <c r="AB8" s="188">
        <f>SUM(U8:AA8)</f>
        <v/>
      </c>
      <c r="AC8" s="197">
        <f>AB8/2</f>
        <v/>
      </c>
      <c r="AD8" s="116" t="n">
        <v>0</v>
      </c>
      <c r="AE8" s="197" t="n">
        <v>0</v>
      </c>
      <c r="AF8" s="194">
        <f>AB8-AE8</f>
        <v/>
      </c>
      <c r="AG8" s="194">
        <f>AF8/2</f>
        <v/>
      </c>
      <c r="AH8" s="117" t="inlineStr">
        <is>
          <t xml:space="preserve"> TIENE UN ADEUDO DE $35,745.37 CORRESPONDIENTE A UN PRESTAMO POR $125,000 (05 DE SEP 2025) QUE SE ABONARA EN 5 PAGOS MENSUALES DE $6,244.18 EMPEZANDO El 15 ABRIL A AGOSTO 2026.</t>
        </is>
      </c>
      <c r="AI8" s="198" t="n">
        <v>0</v>
      </c>
      <c r="AJ8" s="193" t="n">
        <v>0</v>
      </c>
    </row>
    <row r="9">
      <c r="A9" s="28" t="n">
        <v>19</v>
      </c>
      <c r="B9" s="70" t="inlineStr">
        <is>
          <t>081</t>
        </is>
      </c>
      <c r="C9" s="47" t="inlineStr">
        <is>
          <t>CPI</t>
        </is>
      </c>
      <c r="D9" s="48" t="inlineStr">
        <is>
          <t>EMPLEADO 4</t>
        </is>
      </c>
      <c r="E9" s="47" t="inlineStr">
        <is>
          <t>TECNICA</t>
        </is>
      </c>
      <c r="F9" s="47" t="inlineStr">
        <is>
          <t>GESTORIA</t>
        </is>
      </c>
      <c r="G9" s="47" t="inlineStr">
        <is>
          <t>AUXILIAR DE GESTORIA</t>
        </is>
      </c>
      <c r="H9" s="49" t="inlineStr">
        <is>
          <t>CORPORATIVO</t>
        </is>
      </c>
      <c r="I9" s="50" t="n">
        <v>44518</v>
      </c>
      <c r="J9" s="51" t="n">
        <v>4.449315068493151</v>
      </c>
      <c r="K9" s="50" t="n"/>
      <c r="L9" s="52" t="inlineStr">
        <is>
          <t>SI</t>
        </is>
      </c>
      <c r="M9" s="53" t="n">
        <v>441.02</v>
      </c>
      <c r="N9" s="37" t="n">
        <v>1.0534</v>
      </c>
      <c r="O9" s="54" t="n">
        <v>464.5704679999999</v>
      </c>
      <c r="P9" s="199" t="n">
        <v>13407.01</v>
      </c>
      <c r="Q9" s="187" t="n">
        <v>1412.29</v>
      </c>
      <c r="R9" s="199" t="n">
        <v>1412.29</v>
      </c>
      <c r="S9" s="187" t="n">
        <v>1426.4896</v>
      </c>
      <c r="T9" s="199" t="n">
        <v>1474.7711</v>
      </c>
      <c r="U9" s="181">
        <f>SUM(P9:T9)</f>
        <v/>
      </c>
      <c r="V9" s="199" t="n"/>
      <c r="W9" s="199" t="n"/>
      <c r="X9" s="199" t="n"/>
      <c r="Y9" s="186" t="n">
        <v>3000</v>
      </c>
      <c r="Z9" s="199" t="n"/>
      <c r="AA9" s="200" t="n"/>
      <c r="AB9" s="188">
        <f>SUM(U9:AA9)</f>
        <v/>
      </c>
      <c r="AC9" s="189">
        <f>AB9/2</f>
        <v/>
      </c>
      <c r="AD9" s="43" t="n">
        <v>0</v>
      </c>
      <c r="AE9" s="189" t="n">
        <v>0</v>
      </c>
      <c r="AF9" s="191">
        <f>AB9-AE9</f>
        <v/>
      </c>
      <c r="AG9" s="191">
        <f>AF9/2</f>
        <v/>
      </c>
      <c r="AH9" s="57" t="inlineStr">
        <is>
          <t>OK</t>
        </is>
      </c>
      <c r="AI9" s="169" t="n">
        <v>0</v>
      </c>
      <c r="AJ9" s="193" t="n">
        <v>0</v>
      </c>
    </row>
    <row r="10" ht="22.5" customHeight="1">
      <c r="A10" s="28" t="n">
        <v>23</v>
      </c>
      <c r="B10" s="121" t="n"/>
      <c r="C10" s="103" t="inlineStr">
        <is>
          <t>FACTURA</t>
        </is>
      </c>
      <c r="D10" s="104" t="inlineStr">
        <is>
          <t>EMPLEADO 5</t>
        </is>
      </c>
      <c r="E10" s="103" t="inlineStr">
        <is>
          <t>COMERCIAL</t>
        </is>
      </c>
      <c r="F10" s="103" t="inlineStr">
        <is>
          <t>PROSPECCIÓN DIGITAL</t>
        </is>
      </c>
      <c r="G10" s="103" t="inlineStr">
        <is>
          <t>GERENTE DE VENTAS DIGITALES</t>
        </is>
      </c>
      <c r="H10" s="105" t="inlineStr">
        <is>
          <t>CORPORATIVO</t>
        </is>
      </c>
      <c r="I10" s="106" t="n">
        <v>42522</v>
      </c>
      <c r="J10" s="107" t="n">
        <v>9.917808219178083</v>
      </c>
      <c r="K10" s="106" t="n"/>
      <c r="L10" s="108" t="inlineStr">
        <is>
          <t>NO</t>
        </is>
      </c>
      <c r="M10" s="109" t="n"/>
      <c r="N10" s="122" t="n">
        <v>1.0562</v>
      </c>
      <c r="O10" s="196" t="n">
        <v>0</v>
      </c>
      <c r="P10" s="194" t="n">
        <v>0</v>
      </c>
      <c r="Q10" s="195" t="n">
        <v>0</v>
      </c>
      <c r="R10" s="194" t="n">
        <v>0</v>
      </c>
      <c r="S10" s="195" t="n">
        <v>0</v>
      </c>
      <c r="T10" s="194" t="n">
        <v>0</v>
      </c>
      <c r="U10" s="181">
        <f>SUM(P10:T10)</f>
        <v/>
      </c>
      <c r="V10" s="194" t="n"/>
      <c r="W10" s="194" t="n"/>
      <c r="X10" s="194" t="n"/>
      <c r="Y10" s="195" t="n"/>
      <c r="Z10" s="194" t="n">
        <v>17451.3</v>
      </c>
      <c r="AA10" s="194" t="n"/>
      <c r="AB10" s="188">
        <f>SUM(U10:AA10)</f>
        <v/>
      </c>
      <c r="AC10" s="197">
        <f>AB10/2</f>
        <v/>
      </c>
      <c r="AD10" s="116" t="n">
        <v>0</v>
      </c>
      <c r="AE10" s="197" t="n">
        <v>0</v>
      </c>
      <c r="AF10" s="194">
        <f>AB10-AE10</f>
        <v/>
      </c>
      <c r="AG10" s="194">
        <f>AF10/2</f>
        <v/>
      </c>
      <c r="AH10" s="117" t="inlineStr">
        <is>
          <t xml:space="preserve">OK, PAGO CON FACTURA/SUELDO UNA VEZ AL MES LOS DIAS 15 </t>
        </is>
      </c>
      <c r="AI10" s="169" t="n">
        <v>0</v>
      </c>
      <c r="AJ10" s="193" t="n">
        <v>0</v>
      </c>
    </row>
    <row r="11" ht="30" customHeight="1">
      <c r="A11" s="121" t="n">
        <v>60</v>
      </c>
      <c r="B11" s="121" t="n">
        <v>8</v>
      </c>
      <c r="C11" s="103" t="inlineStr">
        <is>
          <t>CPI-ASIMIL</t>
        </is>
      </c>
      <c r="D11" s="104" t="inlineStr">
        <is>
          <t>EMPLEADO 6</t>
        </is>
      </c>
      <c r="E11" s="103" t="inlineStr">
        <is>
          <t>TECNICA</t>
        </is>
      </c>
      <c r="F11" s="103" t="inlineStr">
        <is>
          <t>COMPRAS</t>
        </is>
      </c>
      <c r="G11" s="103" t="inlineStr">
        <is>
          <t>GERENTE DE COMPRAS</t>
        </is>
      </c>
      <c r="H11" s="105" t="inlineStr">
        <is>
          <t>CORPORATIVO</t>
        </is>
      </c>
      <c r="I11" s="106" t="n">
        <v>42969</v>
      </c>
      <c r="J11" s="107" t="n">
        <v>8.693150684931506</v>
      </c>
      <c r="K11" s="106" t="n"/>
      <c r="L11" s="108" t="inlineStr">
        <is>
          <t>NO</t>
        </is>
      </c>
      <c r="M11" s="109" t="n"/>
      <c r="N11" s="122" t="n">
        <v>0</v>
      </c>
      <c r="O11" s="111" t="n"/>
      <c r="P11" s="194" t="n">
        <v>0</v>
      </c>
      <c r="Q11" s="195" t="n">
        <v>0</v>
      </c>
      <c r="R11" s="194" t="n">
        <v>0</v>
      </c>
      <c r="S11" s="195" t="n">
        <v>0</v>
      </c>
      <c r="T11" s="194" t="n">
        <v>0</v>
      </c>
      <c r="U11" s="181">
        <f>SUM(P11:T11)</f>
        <v/>
      </c>
      <c r="V11" s="194" t="n">
        <v>19031.15</v>
      </c>
      <c r="W11" s="194" t="n"/>
      <c r="X11" s="194" t="n">
        <v>19864.9</v>
      </c>
      <c r="Y11" s="195" t="n"/>
      <c r="Z11" s="194" t="n"/>
      <c r="AA11" s="194" t="n">
        <v>6104</v>
      </c>
      <c r="AB11" s="188">
        <f>SUM(U11:AA11)</f>
        <v/>
      </c>
      <c r="AC11" s="197">
        <f>AB11/2</f>
        <v/>
      </c>
      <c r="AD11" s="116" t="n">
        <v>0</v>
      </c>
      <c r="AE11" s="197" t="n">
        <v>0</v>
      </c>
      <c r="AF11" s="194">
        <f>AB11-AE11</f>
        <v/>
      </c>
      <c r="AG11" s="194">
        <f>AF11/2</f>
        <v/>
      </c>
      <c r="AH11" s="117" t="inlineStr">
        <is>
          <t>OK, SE PAGA SUELDO BRUTO MENSUAL, SE PAGA LOS 17 DE CADA MES</t>
        </is>
      </c>
      <c r="AI11" s="169" t="n">
        <v>0</v>
      </c>
      <c r="AJ11" s="193" t="n">
        <v>0</v>
      </c>
    </row>
    <row r="12" ht="30" customHeight="1">
      <c r="A12" s="121" t="n">
        <v>65</v>
      </c>
      <c r="B12" s="121" t="n">
        <v>56</v>
      </c>
      <c r="C12" s="103" t="inlineStr">
        <is>
          <t>AHA-ASIMIL</t>
        </is>
      </c>
      <c r="D12" s="104" t="inlineStr">
        <is>
          <t>EMPLEADO 7</t>
        </is>
      </c>
      <c r="E12" s="103" t="inlineStr">
        <is>
          <t>ADMINISTRATIVA</t>
        </is>
      </c>
      <c r="F12" s="103" t="inlineStr">
        <is>
          <t>DIRECCION</t>
        </is>
      </c>
      <c r="G12" s="103" t="inlineStr">
        <is>
          <t>DIRECTOR DE MERCADOTECNIA</t>
        </is>
      </c>
      <c r="H12" s="105" t="inlineStr">
        <is>
          <t>CORPORATIVO</t>
        </is>
      </c>
      <c r="I12" s="106" t="n">
        <v>37482</v>
      </c>
      <c r="J12" s="107" t="n">
        <v>23.72602739726027</v>
      </c>
      <c r="K12" s="106" t="n"/>
      <c r="L12" s="108" t="inlineStr">
        <is>
          <t>NO</t>
        </is>
      </c>
      <c r="M12" s="109" t="n"/>
      <c r="N12" s="122" t="n">
        <v>0</v>
      </c>
      <c r="O12" s="111" t="n"/>
      <c r="P12" s="194" t="n">
        <v>0</v>
      </c>
      <c r="Q12" s="195" t="n">
        <v>0</v>
      </c>
      <c r="R12" s="194" t="n">
        <v>0</v>
      </c>
      <c r="S12" s="195" t="n">
        <v>0</v>
      </c>
      <c r="T12" s="194" t="n">
        <v>0</v>
      </c>
      <c r="U12" s="181">
        <f>SUM(P12:T12)</f>
        <v/>
      </c>
      <c r="V12" s="196" t="n">
        <v>108274.13</v>
      </c>
      <c r="W12" s="194" t="n"/>
      <c r="X12" s="194" t="n"/>
      <c r="Y12" s="195" t="n">
        <v>35000</v>
      </c>
      <c r="Z12" s="196" t="n"/>
      <c r="AA12" s="194" t="n"/>
      <c r="AB12" s="188">
        <f>SUM(U12:AA12)</f>
        <v/>
      </c>
      <c r="AC12" s="197">
        <f>AB12/2</f>
        <v/>
      </c>
      <c r="AD12" s="116" t="n">
        <v>0</v>
      </c>
      <c r="AE12" s="197" t="n">
        <v>0</v>
      </c>
      <c r="AF12" s="194">
        <f>AB12-AE12</f>
        <v/>
      </c>
      <c r="AG12" s="194">
        <f>AF12/2</f>
        <v/>
      </c>
      <c r="AH12" s="117" t="inlineStr">
        <is>
          <t>OK, SE PAGA SUELDO BRUTO MENSUAL, SE PAGA LOS 17 DE CADA MES</t>
        </is>
      </c>
      <c r="AI12" s="201" t="n">
        <v>0</v>
      </c>
      <c r="AJ12" s="193" t="n">
        <v>0</v>
      </c>
    </row>
    <row r="13" ht="31.5" customHeight="1">
      <c r="A13" s="71" t="n">
        <v>68</v>
      </c>
      <c r="B13" s="71" t="n"/>
      <c r="C13" s="68" t="inlineStr">
        <is>
          <t>CPI</t>
        </is>
      </c>
      <c r="D13" s="73" t="inlineStr">
        <is>
          <t>EMPLEADO 8</t>
        </is>
      </c>
      <c r="E13" s="68" t="inlineStr">
        <is>
          <t>ADMINISTRATIVA</t>
        </is>
      </c>
      <c r="F13" s="68" t="inlineStr">
        <is>
          <t>CONTABILIDAD</t>
        </is>
      </c>
      <c r="G13" s="68" t="inlineStr">
        <is>
          <t>CONTADOR</t>
        </is>
      </c>
      <c r="H13" s="74" t="inlineStr">
        <is>
          <t>CORPORATIVO</t>
        </is>
      </c>
      <c r="I13" s="75" t="n">
        <v>45139</v>
      </c>
      <c r="J13" s="76" t="n">
        <v>2.747945205479452</v>
      </c>
      <c r="K13" s="75" t="n"/>
      <c r="L13" s="119" t="inlineStr">
        <is>
          <t>SI</t>
        </is>
      </c>
      <c r="M13" s="79" t="n">
        <v>686.26</v>
      </c>
      <c r="N13" s="80" t="n">
        <v>1.0507</v>
      </c>
      <c r="O13" s="81" t="n">
        <v>721.0533819999999</v>
      </c>
      <c r="P13" s="179" t="n">
        <v>20862.3</v>
      </c>
      <c r="Q13" s="180" t="n">
        <v>2192</v>
      </c>
      <c r="R13" s="179" t="n">
        <v>2192</v>
      </c>
      <c r="S13" s="180" t="n">
        <v>1426.4896</v>
      </c>
      <c r="T13" s="179" t="n">
        <v>2294.853</v>
      </c>
      <c r="U13" s="181">
        <f>SUM(P13:T13)</f>
        <v/>
      </c>
      <c r="V13" s="202" t="n"/>
      <c r="W13" s="179" t="n">
        <v>2035.74</v>
      </c>
      <c r="X13" s="179" t="n"/>
      <c r="Y13" s="180" t="n"/>
      <c r="Z13" s="179" t="n"/>
      <c r="AA13" s="179" t="n"/>
      <c r="AB13" s="188">
        <f>SUM(U13:AA13)</f>
        <v/>
      </c>
      <c r="AC13" s="184">
        <f>AB13/2</f>
        <v/>
      </c>
      <c r="AD13" s="87" t="n">
        <v>0</v>
      </c>
      <c r="AE13" s="184" t="n">
        <v>0</v>
      </c>
      <c r="AF13" s="179">
        <f>AB13-AE13</f>
        <v/>
      </c>
      <c r="AG13" s="179">
        <f>AF13/2</f>
        <v/>
      </c>
      <c r="AH13" s="88" t="inlineStr">
        <is>
          <t>PRESTAMO DE 20,000.00, A PAGAR CON EL FONDO DE AHORRO CUANDO SE ENTREGUE</t>
        </is>
      </c>
      <c r="AI13" s="201" t="n">
        <v>1.591615728102624e-12</v>
      </c>
      <c r="AJ13" s="193" t="n">
        <v>0</v>
      </c>
    </row>
    <row r="14">
      <c r="A14" s="28" t="n">
        <v>1</v>
      </c>
      <c r="B14" s="29" t="n">
        <v>141</v>
      </c>
      <c r="C14" s="30" t="inlineStr">
        <is>
          <t>CPI</t>
        </is>
      </c>
      <c r="D14" s="31" t="inlineStr">
        <is>
          <t>EMPLEADO 9</t>
        </is>
      </c>
      <c r="E14" s="30" t="inlineStr">
        <is>
          <t>TECNICA</t>
        </is>
      </c>
      <c r="F14" s="30" t="inlineStr">
        <is>
          <t>CONTABILIDAD</t>
        </is>
      </c>
      <c r="G14" s="30" t="inlineStr">
        <is>
          <t>CONTADOR</t>
        </is>
      </c>
      <c r="H14" s="32" t="inlineStr">
        <is>
          <t>CORPORATIVO</t>
        </is>
      </c>
      <c r="I14" s="33" t="n">
        <v>45446</v>
      </c>
      <c r="J14" s="34" t="n">
        <v>1.906849315068493</v>
      </c>
      <c r="K14" s="33" t="n"/>
      <c r="L14" s="35" t="inlineStr">
        <is>
          <t>SI</t>
        </is>
      </c>
      <c r="M14" s="36" t="n">
        <v>387.34</v>
      </c>
      <c r="N14" s="37" t="n">
        <v>1.0493</v>
      </c>
      <c r="O14" s="38" t="n">
        <v>406.4358619999999</v>
      </c>
      <c r="P14" s="187" t="n">
        <v>11775.14</v>
      </c>
      <c r="Q14" s="187" t="n">
        <v>1235.57</v>
      </c>
      <c r="R14" s="187" t="n">
        <v>1235.57</v>
      </c>
      <c r="S14" s="187" t="n">
        <v>1426.4896</v>
      </c>
      <c r="T14" s="187" t="n">
        <v>1295.2654</v>
      </c>
      <c r="U14" s="181">
        <f>SUM(P14:T14)</f>
        <v/>
      </c>
      <c r="V14" s="187" t="n"/>
      <c r="W14" s="187" t="n"/>
      <c r="X14" s="187" t="n"/>
      <c r="Y14" s="187" t="n"/>
      <c r="Z14" s="187" t="n"/>
      <c r="AA14" s="187" t="n"/>
      <c r="AB14" s="188">
        <f>SUM(U14:AA14)</f>
        <v/>
      </c>
      <c r="AC14" s="189">
        <f>AB14/2</f>
        <v/>
      </c>
      <c r="AD14" s="43" t="n">
        <v>0</v>
      </c>
      <c r="AE14" s="190" t="n">
        <v>0</v>
      </c>
      <c r="AF14" s="191">
        <f>AB14-AE14</f>
        <v/>
      </c>
      <c r="AG14" s="191">
        <f>AF14/2</f>
        <v/>
      </c>
      <c r="AH14" s="44" t="inlineStr">
        <is>
          <t>OK</t>
        </is>
      </c>
      <c r="AI14" s="169" t="n">
        <v>0</v>
      </c>
      <c r="AJ14" s="193" t="n">
        <v>0</v>
      </c>
    </row>
    <row r="15">
      <c r="A15" s="28" t="n">
        <v>71</v>
      </c>
      <c r="B15" s="28" t="n"/>
      <c r="C15" s="58" t="inlineStr">
        <is>
          <t>CPI</t>
        </is>
      </c>
      <c r="D15" s="31" t="inlineStr">
        <is>
          <t>EMPLEADO 10</t>
        </is>
      </c>
      <c r="E15" s="58" t="inlineStr">
        <is>
          <t>JURIDICO</t>
        </is>
      </c>
      <c r="F15" s="58" t="inlineStr">
        <is>
          <t>JURIDICO</t>
        </is>
      </c>
      <c r="G15" s="58" t="inlineStr">
        <is>
          <t>ABOGADA</t>
        </is>
      </c>
      <c r="H15" s="59" t="inlineStr">
        <is>
          <t>CORPORATIVO</t>
        </is>
      </c>
      <c r="I15" s="60" t="n">
        <v>44958</v>
      </c>
      <c r="J15" s="61" t="n">
        <v>3.243835616438356</v>
      </c>
      <c r="K15" s="60" t="n"/>
      <c r="L15" s="62" t="inlineStr">
        <is>
          <t>SI</t>
        </is>
      </c>
      <c r="M15" s="63" t="n">
        <v>1042.3</v>
      </c>
      <c r="N15" s="37" t="n">
        <v>1.0521</v>
      </c>
      <c r="O15" s="64" t="n">
        <v>1096.60383</v>
      </c>
      <c r="P15" s="191" t="n">
        <v>31685.92</v>
      </c>
      <c r="Q15" s="187" t="n">
        <v>3333.68</v>
      </c>
      <c r="R15" s="191" t="n">
        <v>3333.68</v>
      </c>
      <c r="S15" s="187" t="n">
        <v>1426.4896</v>
      </c>
      <c r="T15" s="191" t="n">
        <v>3485.4512</v>
      </c>
      <c r="U15" s="181">
        <f>SUM(P15:T15)</f>
        <v/>
      </c>
      <c r="V15" s="191" t="n"/>
      <c r="W15" s="191" t="n"/>
      <c r="X15" s="191" t="n"/>
      <c r="Y15" s="187" t="n"/>
      <c r="Z15" s="191" t="n"/>
      <c r="AA15" s="191" t="n"/>
      <c r="AB15" s="188">
        <f>SUM(U15:AA15)</f>
        <v/>
      </c>
      <c r="AC15" s="189">
        <f>AB15/2</f>
        <v/>
      </c>
      <c r="AD15" s="43" t="n">
        <v>0</v>
      </c>
      <c r="AE15" s="189" t="n">
        <v>0</v>
      </c>
      <c r="AF15" s="191">
        <f>AB15-AE15</f>
        <v/>
      </c>
      <c r="AG15" s="191">
        <f>AF15/2</f>
        <v/>
      </c>
      <c r="AH15" s="57" t="inlineStr">
        <is>
          <t>OK</t>
        </is>
      </c>
      <c r="AI15" s="201" t="n">
        <v>0</v>
      </c>
      <c r="AJ15" s="193" t="n">
        <v>0</v>
      </c>
    </row>
    <row r="16">
      <c r="A16" s="46" t="n">
        <v>109</v>
      </c>
      <c r="B16" s="70" t="inlineStr">
        <is>
          <t>269</t>
        </is>
      </c>
      <c r="C16" s="47" t="inlineStr">
        <is>
          <t>LASO</t>
        </is>
      </c>
      <c r="D16" s="48" t="inlineStr">
        <is>
          <t>EMPLEADO 11</t>
        </is>
      </c>
      <c r="E16" s="47" t="inlineStr">
        <is>
          <t>TECNICA</t>
        </is>
      </c>
      <c r="F16" s="47" t="inlineStr">
        <is>
          <t>PRODUCCION</t>
        </is>
      </c>
      <c r="G16" s="47" t="inlineStr">
        <is>
          <t>SUPERVISOR DE OBRA</t>
        </is>
      </c>
      <c r="H16" s="49" t="inlineStr">
        <is>
          <t>MAZATLAN</t>
        </is>
      </c>
      <c r="I16" s="50" t="n">
        <v>45712</v>
      </c>
      <c r="J16" s="51" t="n">
        <v>1.178082191780822</v>
      </c>
      <c r="K16" s="50" t="n"/>
      <c r="L16" s="52" t="inlineStr">
        <is>
          <t>SI</t>
        </is>
      </c>
      <c r="M16" s="53" t="n">
        <v>587.9400000000001</v>
      </c>
      <c r="N16" s="98" t="n">
        <v>1.0493</v>
      </c>
      <c r="O16" s="54" t="n">
        <v>616.925442</v>
      </c>
      <c r="P16" s="199" t="n">
        <v>17873.38</v>
      </c>
      <c r="Q16" s="187" t="n">
        <v>1875.45</v>
      </c>
      <c r="R16" s="199" t="n">
        <v>1875.45</v>
      </c>
      <c r="S16" s="186" t="n">
        <v>1426.4896</v>
      </c>
      <c r="T16" s="199" t="n">
        <v>1966.0718</v>
      </c>
      <c r="U16" s="181">
        <f>SUM(P16:T16)</f>
        <v/>
      </c>
      <c r="V16" s="199" t="n"/>
      <c r="W16" s="199" t="n"/>
      <c r="X16" s="199" t="n"/>
      <c r="Y16" s="186" t="n"/>
      <c r="Z16" s="199" t="n"/>
      <c r="AA16" s="199" t="n"/>
      <c r="AB16" s="188">
        <f>SUM(U16:AA16)</f>
        <v/>
      </c>
      <c r="AC16" s="189">
        <f>AB16/2</f>
        <v/>
      </c>
      <c r="AD16" s="43" t="n">
        <v>0</v>
      </c>
      <c r="AE16" s="189" t="n">
        <v>0</v>
      </c>
      <c r="AF16" s="191">
        <f>AB16-AE16</f>
        <v/>
      </c>
      <c r="AG16" s="191">
        <f>AF16/2</f>
        <v/>
      </c>
      <c r="AH16" s="123" t="inlineStr">
        <is>
          <t>OK</t>
        </is>
      </c>
      <c r="AI16" s="169" t="n">
        <v>0</v>
      </c>
      <c r="AJ16" s="193" t="n">
        <v>0</v>
      </c>
    </row>
    <row r="17">
      <c r="A17" s="28" t="n">
        <v>110</v>
      </c>
      <c r="B17" s="67" t="inlineStr">
        <is>
          <t>127</t>
        </is>
      </c>
      <c r="C17" s="58" t="inlineStr">
        <is>
          <t>CPI</t>
        </is>
      </c>
      <c r="D17" s="31" t="inlineStr">
        <is>
          <t>EMPLEADO 12</t>
        </is>
      </c>
      <c r="E17" s="58" t="inlineStr">
        <is>
          <t>OPERATIVA</t>
        </is>
      </c>
      <c r="F17" s="58" t="inlineStr">
        <is>
          <t>OPERACIONES</t>
        </is>
      </c>
      <c r="G17" s="58" t="inlineStr">
        <is>
          <t>IMAGEN URBANA</t>
        </is>
      </c>
      <c r="H17" s="59" t="inlineStr">
        <is>
          <t>CULIACAN</t>
        </is>
      </c>
      <c r="I17" s="60" t="n">
        <v>42394</v>
      </c>
      <c r="J17" s="61" t="n">
        <v>10.26849315068493</v>
      </c>
      <c r="K17" s="60" t="n"/>
      <c r="L17" s="62" t="inlineStr">
        <is>
          <t>SI</t>
        </is>
      </c>
      <c r="M17" s="63" t="n">
        <v>819.33</v>
      </c>
      <c r="N17" s="37" t="n">
        <v>1.0562</v>
      </c>
      <c r="O17" s="64" t="n">
        <v>865.376346</v>
      </c>
      <c r="P17" s="191" t="n">
        <v>24907.63</v>
      </c>
      <c r="Q17" s="187" t="n">
        <v>2630.74</v>
      </c>
      <c r="R17" s="191" t="n">
        <v>2630.74</v>
      </c>
      <c r="S17" s="187" t="n">
        <v>1426.4896</v>
      </c>
      <c r="T17" s="191" t="n">
        <v>2739.8393</v>
      </c>
      <c r="U17" s="181">
        <f>SUM(P17:T17)</f>
        <v/>
      </c>
      <c r="V17" s="191" t="n"/>
      <c r="W17" s="191" t="n">
        <v>1000</v>
      </c>
      <c r="X17" s="191" t="n"/>
      <c r="Y17" s="187" t="n"/>
      <c r="Z17" s="191" t="n"/>
      <c r="AA17" s="191" t="n"/>
      <c r="AB17" s="188">
        <f>SUM(U17:AA17)</f>
        <v/>
      </c>
      <c r="AC17" s="189">
        <f>AB17/2</f>
        <v/>
      </c>
      <c r="AD17" s="43" t="n">
        <v>0</v>
      </c>
      <c r="AE17" s="189" t="n">
        <v>0</v>
      </c>
      <c r="AF17" s="191">
        <f>AB17-AE17</f>
        <v/>
      </c>
      <c r="AG17" s="191">
        <f>AF17/2</f>
        <v/>
      </c>
      <c r="AH17" s="123" t="inlineStr">
        <is>
          <t>OK</t>
        </is>
      </c>
      <c r="AI17" s="169" t="n">
        <v>0</v>
      </c>
      <c r="AJ17" s="193" t="n">
        <v>0</v>
      </c>
    </row>
    <row r="18" customFormat="1" s="69">
      <c r="A18" s="29" t="n">
        <v>111</v>
      </c>
      <c r="B18" s="127" t="inlineStr">
        <is>
          <t>128</t>
        </is>
      </c>
      <c r="C18" s="91" t="inlineStr">
        <is>
          <t>AHA</t>
        </is>
      </c>
      <c r="D18" s="92" t="inlineStr">
        <is>
          <t>EMPLEADO 13</t>
        </is>
      </c>
      <c r="E18" s="91" t="inlineStr">
        <is>
          <t>COMERCIAL</t>
        </is>
      </c>
      <c r="F18" s="91" t="inlineStr">
        <is>
          <t>PROSPECCIÓN DIGITAL</t>
        </is>
      </c>
      <c r="G18" s="91" t="inlineStr">
        <is>
          <t>PROSPECCIÓN DIGITAL</t>
        </is>
      </c>
      <c r="H18" s="93" t="inlineStr">
        <is>
          <t>CORPORATIVO</t>
        </is>
      </c>
      <c r="I18" s="94" t="n">
        <v>44319</v>
      </c>
      <c r="J18" s="95" t="n">
        <v>4.994520547945205</v>
      </c>
      <c r="K18" s="128" t="n"/>
      <c r="L18" s="129" t="inlineStr">
        <is>
          <t>NO</t>
        </is>
      </c>
      <c r="M18" s="97" t="n">
        <v>315.04</v>
      </c>
      <c r="N18" s="98" t="n">
        <v>1.0534</v>
      </c>
      <c r="O18" s="99" t="n">
        <v>331.863136</v>
      </c>
      <c r="P18" s="186" t="n">
        <v>9577.219999999999</v>
      </c>
      <c r="Q18" s="187">
        <f>O18*0.1*$N$3</f>
        <v/>
      </c>
      <c r="R18" s="186">
        <f>O18*0.1*$N$3</f>
        <v/>
      </c>
      <c r="S18" s="186" t="n">
        <v>1426.4896</v>
      </c>
      <c r="T18" s="186" t="n">
        <v>0</v>
      </c>
      <c r="U18" s="181">
        <f>SUM(P18:T18)</f>
        <v/>
      </c>
      <c r="V18" s="186" t="n"/>
      <c r="W18" s="186" t="n"/>
      <c r="X18" s="186" t="n"/>
      <c r="Y18" s="186" t="n"/>
      <c r="Z18" s="186" t="n"/>
      <c r="AA18" s="186" t="n"/>
      <c r="AB18" s="188">
        <f>SUM(U18:AA18)</f>
        <v/>
      </c>
      <c r="AC18" s="189">
        <f>AB18/2</f>
        <v/>
      </c>
      <c r="AD18" s="120" t="n">
        <v>0</v>
      </c>
      <c r="AE18" s="190" t="n"/>
      <c r="AF18" s="191">
        <f>AB18-AE18</f>
        <v/>
      </c>
      <c r="AG18" s="191">
        <f>AF18/2/15*12</f>
        <v/>
      </c>
      <c r="AH18" s="44" t="inlineStr">
        <is>
          <t>se tomo 3 dias de vacaciones</t>
        </is>
      </c>
      <c r="AI18" s="192" t="n">
        <v>0</v>
      </c>
      <c r="AJ18" s="203" t="n">
        <v>0</v>
      </c>
    </row>
    <row r="19" ht="39.75" customFormat="1" customHeight="1" s="166">
      <c r="A19" s="152" t="n">
        <v>112</v>
      </c>
      <c r="B19" s="153" t="inlineStr">
        <is>
          <t>026</t>
        </is>
      </c>
      <c r="C19" s="154" t="inlineStr">
        <is>
          <t>BYRMAX</t>
        </is>
      </c>
      <c r="D19" s="155" t="inlineStr">
        <is>
          <t>EMPLEADO 14</t>
        </is>
      </c>
      <c r="E19" s="154" t="inlineStr">
        <is>
          <t>TECNICA</t>
        </is>
      </c>
      <c r="F19" s="154" t="inlineStr">
        <is>
          <t>DIRECCION</t>
        </is>
      </c>
      <c r="G19" s="156" t="inlineStr">
        <is>
          <t>GERENCIA GRAL</t>
        </is>
      </c>
      <c r="H19" s="157" t="inlineStr">
        <is>
          <t>CORPORATIVO</t>
        </is>
      </c>
      <c r="I19" s="151" t="n">
        <v>40782</v>
      </c>
      <c r="J19" s="158" t="n">
        <v>14.68493150684932</v>
      </c>
      <c r="K19" s="151" t="n"/>
      <c r="L19" s="159" t="inlineStr">
        <is>
          <t>NO</t>
        </is>
      </c>
      <c r="M19" s="36" t="n">
        <v>315.04</v>
      </c>
      <c r="N19" s="80" t="n">
        <v>1.0575</v>
      </c>
      <c r="O19" s="160" t="n">
        <v>330.58</v>
      </c>
      <c r="P19" s="180" t="n">
        <v>9577.219999999999</v>
      </c>
      <c r="Q19" s="180" t="n">
        <v>1004.96</v>
      </c>
      <c r="R19" s="180" t="n">
        <v>1004.96</v>
      </c>
      <c r="S19" s="180" t="n">
        <v>1426.4896</v>
      </c>
      <c r="T19" s="180" t="n">
        <v>0</v>
      </c>
      <c r="U19" s="181">
        <f>SUM(P19:T19)</f>
        <v/>
      </c>
      <c r="V19" s="180" t="n">
        <v>49115.19</v>
      </c>
      <c r="W19" s="180" t="n"/>
      <c r="X19" s="180" t="n">
        <v>49115.19</v>
      </c>
      <c r="Y19" s="180" t="n">
        <v>38000</v>
      </c>
      <c r="Z19" s="180" t="n">
        <v>150000</v>
      </c>
      <c r="AA19" s="180" t="n"/>
      <c r="AB19" s="188">
        <f>SUM(U19:AA19)</f>
        <v/>
      </c>
      <c r="AC19" s="184">
        <f>AB19/2</f>
        <v/>
      </c>
      <c r="AD19" s="162" t="n">
        <v>0</v>
      </c>
      <c r="AE19" s="204" t="n">
        <v>0</v>
      </c>
      <c r="AF19" s="179">
        <f>AB19-AE19</f>
        <v/>
      </c>
      <c r="AG19" s="179">
        <f>AF19/2</f>
        <v/>
      </c>
      <c r="AH19" s="163" t="inlineStr">
        <is>
          <t xml:space="preserve"> COMISIONES QUE SE PAGA EL ULTIMO DIA DE CADA MES, </t>
        </is>
      </c>
      <c r="AI19" s="205" t="n">
        <v>0</v>
      </c>
      <c r="AJ19" s="206" t="n">
        <v>0</v>
      </c>
    </row>
    <row r="20">
      <c r="A20" s="105" t="n">
        <v>138</v>
      </c>
      <c r="B20" s="130" t="n"/>
      <c r="C20" s="131" t="inlineStr">
        <is>
          <t>CPI-ASIMIL</t>
        </is>
      </c>
      <c r="D20" s="132" t="inlineStr">
        <is>
          <t>EMPLEADO 15</t>
        </is>
      </c>
      <c r="E20" s="103" t="inlineStr">
        <is>
          <t>OPERATIVA</t>
        </is>
      </c>
      <c r="F20" s="103" t="inlineStr">
        <is>
          <t>OPERACIONES</t>
        </is>
      </c>
      <c r="G20" s="103" t="inlineStr">
        <is>
          <t>IMAGEN URBANA</t>
        </is>
      </c>
      <c r="H20" s="121" t="inlineStr">
        <is>
          <t>CULIACAN</t>
        </is>
      </c>
      <c r="I20" s="133" t="n">
        <v>46077</v>
      </c>
      <c r="J20" s="107" t="n">
        <v>0.1780821917808219</v>
      </c>
      <c r="K20" s="106" t="n"/>
      <c r="L20" s="131" t="inlineStr">
        <is>
          <t>NO</t>
        </is>
      </c>
      <c r="M20" s="134" t="n"/>
      <c r="N20" s="135" t="n"/>
      <c r="O20" s="136" t="n"/>
      <c r="P20" s="194" t="n">
        <v>0</v>
      </c>
      <c r="Q20" s="195" t="n">
        <v>0</v>
      </c>
      <c r="R20" s="194" t="n">
        <v>0</v>
      </c>
      <c r="S20" s="195" t="n">
        <v>0</v>
      </c>
      <c r="T20" s="194" t="n">
        <v>0</v>
      </c>
      <c r="U20" s="181">
        <f>SUM(P20:T20)</f>
        <v/>
      </c>
      <c r="V20" s="207" t="n">
        <v>16200</v>
      </c>
      <c r="W20" s="207" t="n"/>
      <c r="X20" s="207" t="n"/>
      <c r="Y20" s="208" t="n"/>
      <c r="Z20" s="207" t="n"/>
      <c r="AA20" s="207" t="n"/>
      <c r="AB20" s="188">
        <f>SUM(U20:AA20)</f>
        <v/>
      </c>
      <c r="AC20" s="197">
        <f>AB20/2</f>
        <v/>
      </c>
      <c r="AD20" s="116" t="n">
        <v>0</v>
      </c>
      <c r="AE20" s="197" t="n">
        <v>0</v>
      </c>
      <c r="AF20" s="194">
        <f>AB20-AE20</f>
        <v/>
      </c>
      <c r="AG20" s="194">
        <f>AF20/2</f>
        <v/>
      </c>
      <c r="AH20" s="117" t="inlineStr">
        <is>
          <t>SE PAGA LOS 17 DE CADA MES</t>
        </is>
      </c>
      <c r="AI20" s="169" t="n">
        <v>0</v>
      </c>
      <c r="AJ20" s="193" t="n">
        <v>0</v>
      </c>
    </row>
    <row r="21">
      <c r="U21" s="170">
        <f>SUM(U6:U20)</f>
        <v/>
      </c>
      <c r="V21" s="209">
        <f>SUM(V6:V20)</f>
        <v/>
      </c>
      <c r="W21" s="209">
        <f>SUM(W6:W20)</f>
        <v/>
      </c>
      <c r="X21" s="209">
        <f>SUM(X6:X20)</f>
        <v/>
      </c>
      <c r="Y21" s="209">
        <f>SUM(Y6:Y20)</f>
        <v/>
      </c>
      <c r="Z21" s="209">
        <f>SUM(Z6:Z20)</f>
        <v/>
      </c>
      <c r="AA21" s="209">
        <f>SUM(AA6:AA20)</f>
        <v/>
      </c>
      <c r="AB21" s="188">
        <f>SUM(U21:AA21)</f>
        <v/>
      </c>
      <c r="AC21" s="189">
        <f>AB21/2</f>
        <v/>
      </c>
      <c r="AD21" s="169" t="n"/>
      <c r="AE21" s="193">
        <f>SUM(AE6:AE20)</f>
        <v/>
      </c>
      <c r="AF21" s="170">
        <f>SUM(AF6:AF20)</f>
        <v/>
      </c>
      <c r="AG21" s="210">
        <f>AF21/2</f>
        <v/>
      </c>
      <c r="AH21" s="169" t="n"/>
      <c r="AI21" s="169">
        <f>SUM(AI6:AI18)</f>
        <v/>
      </c>
      <c r="AJ21" s="211">
        <f>SUM(AJ6:AJ20)</f>
        <v/>
      </c>
    </row>
    <row r="22">
      <c r="M22" s="7" t="n"/>
      <c r="W22" s="212" t="n"/>
      <c r="AB22" s="213" t="n"/>
      <c r="AG22" s="191">
        <f>AF22/2</f>
        <v/>
      </c>
      <c r="AH22" s="7" t="inlineStr">
        <is>
          <t>DIF. X DESCUENTOS Y/O NUEVOS INGRESOS</t>
        </is>
      </c>
      <c r="AI22" s="214" t="n"/>
      <c r="AJ22" s="209">
        <f>AC21-AG21</f>
        <v/>
      </c>
      <c r="AK22" t="inlineStr">
        <is>
          <t>ok</t>
        </is>
      </c>
    </row>
    <row r="23">
      <c r="M23" s="7" t="n"/>
      <c r="V23" s="215" t="n"/>
      <c r="AB23" s="213" t="n"/>
      <c r="AC23" s="212" t="n"/>
      <c r="AD23" s="212" t="n"/>
      <c r="AE23" s="212" t="n"/>
      <c r="AF23" s="212" t="n"/>
      <c r="AG23" s="191">
        <f>AF23/2</f>
        <v/>
      </c>
      <c r="AI23" s="169" t="n"/>
      <c r="AJ23" s="169">
        <f>AG22-AJ22</f>
        <v/>
      </c>
    </row>
    <row r="24">
      <c r="AJ24" s="193" t="n"/>
    </row>
    <row r="26">
      <c r="AC26" s="212" t="n"/>
      <c r="AD26" s="212" t="n"/>
      <c r="AE26" s="212" t="n"/>
      <c r="AF26" s="212" t="n"/>
      <c r="AG26" s="212" t="n"/>
    </row>
    <row r="27">
      <c r="P27" s="169" t="n"/>
      <c r="Q27" s="169" t="n"/>
      <c r="R27" s="169" t="n"/>
      <c r="S27" s="169" t="n"/>
      <c r="T27" s="169" t="n"/>
      <c r="U27" s="216" t="n"/>
    </row>
    <row r="28">
      <c r="P28" s="217" t="n"/>
      <c r="Q28" s="217" t="n"/>
      <c r="R28" s="217" t="n"/>
      <c r="S28" s="217" t="n"/>
      <c r="T28" s="217" t="n"/>
      <c r="U28" s="218" t="n"/>
    </row>
    <row r="29">
      <c r="Q29" s="169" t="n"/>
      <c r="U29" s="219" t="n"/>
    </row>
    <row r="31">
      <c r="Q31" s="169" t="n"/>
    </row>
    <row r="32">
      <c r="G32" s="215" t="n"/>
    </row>
    <row r="35">
      <c r="G35" s="212" t="n"/>
    </row>
  </sheetData>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Ana Marina Lugo Felix</dc:creator>
  <dcterms:created xmlns:dcterms="http://purl.org/dc/terms/" xmlns:xsi="http://www.w3.org/2001/XMLSchema-instance" xsi:type="dcterms:W3CDTF">2026-05-07T16:11:03Z</dcterms:created>
  <dcterms:modified xmlns:dcterms="http://purl.org/dc/terms/" xmlns:xsi="http://www.w3.org/2001/XMLSchema-instance" xsi:type="dcterms:W3CDTF">2026-05-31T23:33:56Z</dcterms:modified>
  <cp:lastModifiedBy>Ana Marina Lugo Felix</cp:lastModifiedBy>
</cp:coreProperties>
</file>